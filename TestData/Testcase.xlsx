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hoa\sqa-testing-lab\TestData\"/>
    </mc:Choice>
  </mc:AlternateContent>
  <xr:revisionPtr revIDLastSave="0" documentId="13_ncr:1_{767B5CBF-D21A-4036-9005-7FD12D11D99E}" xr6:coauthVersionLast="47" xr6:coauthVersionMax="47" xr10:uidLastSave="{00000000-0000-0000-0000-000000000000}"/>
  <bookViews>
    <workbookView xWindow="-108" yWindow="-108" windowWidth="23256" windowHeight="12456" firstSheet="1" activeTab="1" xr2:uid="{23F3E367-7927-4520-A748-866283E286BB}"/>
  </bookViews>
  <sheets>
    <sheet name="Dự Án " sheetId="2" r:id="rId1"/>
    <sheet name="TestCase" sheetId="1" r:id="rId2"/>
    <sheet name="Test Requiremen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6" i="3" l="1"/>
  <c r="K51" i="3"/>
  <c r="K46" i="3"/>
  <c r="K39" i="3"/>
  <c r="K33" i="3"/>
  <c r="K28" i="3"/>
  <c r="K23" i="3"/>
  <c r="K17" i="3"/>
  <c r="L11" i="3"/>
  <c r="K11" i="3"/>
  <c r="E3" i="1"/>
  <c r="C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Hong Phan</author>
  </authors>
  <commentList>
    <comment ref="G8" authorId="0" shapeId="0" xr:uid="{45233115-8F9E-4321-AC6B-83D16DBE626E}">
      <text>
        <r>
          <rPr>
            <b/>
            <sz val="10"/>
            <color indexed="81"/>
            <rFont val="Tahoma"/>
            <family val="2"/>
          </rPr>
          <t>Hong Phan:</t>
        </r>
        <r>
          <rPr>
            <sz val="10"/>
            <color indexed="81"/>
            <rFont val="Tahoma"/>
            <family val="2"/>
          </rPr>
          <t>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000A_</t>
        </r>
        <r>
          <rPr>
            <b/>
            <sz val="10"/>
            <color indexed="81"/>
            <rFont val="Tahoma"/>
            <family val="2"/>
          </rPr>
          <t>High:</t>
        </r>
        <r>
          <rPr>
            <sz val="10"/>
            <color indexed="81"/>
            <rFont val="Tahoma"/>
            <family val="2"/>
          </rPr>
          <t xml:space="preserve"> Những TCs phải được thực thi trong bất kỳ tình huống nào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000A_</t>
        </r>
        <r>
          <rPr>
            <b/>
            <sz val="10"/>
            <color indexed="81"/>
            <rFont val="Tahoma"/>
            <family val="2"/>
          </rPr>
          <t>Medium:</t>
        </r>
        <r>
          <rPr>
            <sz val="10"/>
            <color indexed="81"/>
            <rFont val="Tahoma"/>
            <family val="2"/>
          </rPr>
          <t xml:space="preserve"> Những TCs có thể được thực thi nếu thời gian cho phép.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000A_</t>
        </r>
        <r>
          <rPr>
            <b/>
            <sz val="10"/>
            <color indexed="81"/>
            <rFont val="Tahoma"/>
            <family val="2"/>
          </rPr>
          <t>Low:</t>
        </r>
        <r>
          <rPr>
            <sz val="10"/>
            <color indexed="81"/>
            <rFont val="Tahoma"/>
            <family val="2"/>
          </rPr>
          <t xml:space="preserve"> Những TCs mà trong trường hợp không thể thực thi, thì vẫn không gây ra những sai lầm nghiêm trọng nào</t>
        </r>
      </text>
    </comment>
    <comment ref="I8" authorId="0" shapeId="0" xr:uid="{AEAF89FB-D924-4BE4-93CE-5D88DC034169}">
      <text>
        <r>
          <rPr>
            <b/>
            <sz val="9"/>
            <color indexed="81"/>
            <rFont val="Tahoma"/>
            <family val="2"/>
          </rPr>
          <t>Hong Phan:</t>
        </r>
        <r>
          <rPr>
            <sz val="9"/>
            <color indexed="81"/>
            <rFont val="Tahoma"/>
            <family val="2"/>
          </rPr>
          <t>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000A_Number of test cases to validate the specific test requirement</t>
        </r>
      </text>
    </comment>
  </commentList>
</comments>
</file>

<file path=xl/sharedStrings.xml><?xml version="1.0" encoding="utf-8"?>
<sst xmlns="http://schemas.openxmlformats.org/spreadsheetml/2006/main" count="1298" uniqueCount="839">
  <si>
    <t>Tên dự án:</t>
  </si>
  <si>
    <t>?</t>
  </si>
  <si>
    <t>Tên nhóm:</t>
  </si>
  <si>
    <t>Thời gian thực hiện:</t>
  </si>
  <si>
    <t>Các thành viên:</t>
  </si>
  <si>
    <t>Trong file gồm bao nhiêu sheet? Mỗi Sheet có tên là gì?</t>
  </si>
  <si>
    <t>cột để chạy cho từng trường hợp test case</t>
  </si>
  <si>
    <t>Cột dữ liệu nạp vào</t>
  </si>
  <si>
    <t>Cột kết quả mong muốn</t>
  </si>
  <si>
    <t>Pass/Failed</t>
  </si>
  <si>
    <t>tạo vòng lặp cho từng test case</t>
  </si>
  <si>
    <t>Tạo vòng lặp để đưa data vào cho từng test case</t>
  </si>
  <si>
    <t>Số test case:</t>
  </si>
  <si>
    <t xml:space="preserve">Người thực hiện: </t>
  </si>
  <si>
    <t>Số test case PASS:</t>
  </si>
  <si>
    <t xml:space="preserve">Số testcase FAIL: </t>
  </si>
  <si>
    <t>No.</t>
  </si>
  <si>
    <t>Test Requirement ID</t>
  </si>
  <si>
    <t>Test Case ID</t>
  </si>
  <si>
    <t>Test Objective</t>
  </si>
  <si>
    <t>Pre-conditions</t>
  </si>
  <si>
    <t>Step #</t>
  </si>
  <si>
    <t>Step Action</t>
  </si>
  <si>
    <t>Test Data</t>
  </si>
  <si>
    <t>Expected Result</t>
  </si>
  <si>
    <t>Actual Result</t>
  </si>
  <si>
    <t>Status</t>
  </si>
  <si>
    <t>Screenshot</t>
  </si>
  <si>
    <t>By</t>
  </si>
  <si>
    <t>Run</t>
  </si>
  <si>
    <t>User</t>
  </si>
  <si>
    <t>I User Registration</t>
  </si>
  <si>
    <t>TR_REG_01</t>
  </si>
  <si>
    <t>TC_REG_001</t>
  </si>
  <si>
    <t>Đăng ký thành công với data hợp lệ</t>
  </si>
  <si>
    <t>Browser đang ở trang chủ</t>
  </si>
  <si>
    <t>Click 'Register'</t>
  </si>
  <si>
    <t>Your account was created successfully. You are now logged in.</t>
  </si>
  <si>
    <t>PASS</t>
  </si>
  <si>
    <t/>
  </si>
  <si>
    <t>YES</t>
  </si>
  <si>
    <t>Nhập đầy đủ các trường hợp lệ</t>
  </si>
  <si>
    <t>F.Name: Khoa, L.Name: Nguyen, Address: 123 CMT8, City: HCM, State: VN, ZipCode: 70000, Phone: 0901234567, SSN: 123-456, User: khoa_it_01, Pass: Khoa123!, Confirm: Khoa123!</t>
  </si>
  <si>
    <t>Nhấn nút 'Register'</t>
  </si>
  <si>
    <t>Hiển thị: "Your account was created successfully."</t>
  </si>
  <si>
    <t>TR_REG_02</t>
  </si>
  <si>
    <t>TC_REG_002</t>
  </si>
  <si>
    <t>Kiểm tra Username đã tồn tại</t>
  </si>
  <si>
    <t>Đã có User 'khoa_it_01'</t>
  </si>
  <si>
    <t>Truy cập trang Register</t>
  </si>
  <si>
    <t>Nhập Username 'khoa_it_01' và các thông tin khác</t>
  </si>
  <si>
    <t>Hiển thị lỗi: "This username already exists."</t>
  </si>
  <si>
    <t>TR_REG_03</t>
  </si>
  <si>
    <t>TC_REG_003</t>
  </si>
  <si>
    <t>Kiểm tra Confirm Pass không khớp</t>
  </si>
  <si>
    <t>Trang Register đang mở</t>
  </si>
  <si>
    <t>Nhập Password</t>
  </si>
  <si>
    <t>Pass: 123</t>
  </si>
  <si>
    <t>Nhập Confirm Password và điền đủ các ô còn lại</t>
  </si>
  <si>
    <t>Confirm: 456, F.Name: Khoa, L.Name: Nguyen, Address: 123 CMT8, City: HCM, State: VN, ZipCode: 70000, Phone: 0901234567, SSN: 123-456, User: khoa_it_02</t>
  </si>
  <si>
    <t>Nhấn 'Register'</t>
  </si>
  <si>
    <t>Hiển thị lỗi: "Passwords did not match."</t>
  </si>
  <si>
    <t>TR_REG_04</t>
  </si>
  <si>
    <t>TC_REG_004</t>
  </si>
  <si>
    <t>Để trống trường First Name</t>
  </si>
  <si>
    <t>Để trống ô 'First Name', nhập đủ các ô khác</t>
  </si>
  <si>
    <t>F.Name: [Empty], L.Name: Nguyen, Address: 123 CMT8, City: HCM, State: VN, ZipCode: 70000, Phone: 0901234567, SSN: 123-456, User: khoa_it_03, Pass: Khoa123!, Confirm: Khoa123!</t>
  </si>
  <si>
    <t>Hiển thị lỗi: "First name is required."</t>
  </si>
  <si>
    <t>TC_REG_005</t>
  </si>
  <si>
    <t>Để trống trường SSN</t>
  </si>
  <si>
    <t>Để trống ô 'SSN', nhập đủ các ô khác</t>
  </si>
  <si>
    <t>F.Name: Khoa, L.Name: Nguyen, Address: 123 CMT8, City: HCM, State: VN, ZipCode: 70000, Phone: 0901234567, SSN: [Empty], User: khoa_it_04, Pass: Khoa123!, Confirm: Khoa123!</t>
  </si>
  <si>
    <t>Hiển thị lỗi: "Social Security Number is required."</t>
  </si>
  <si>
    <t>TR_REG_05</t>
  </si>
  <si>
    <t>TC_REG_006</t>
  </si>
  <si>
    <t>Kiểm tra Zip Code định dạng chữ</t>
  </si>
  <si>
    <t>Nhập chữ vào ô 'Zip Code', điền đủ các ô khác</t>
  </si>
  <si>
    <t>F.Name: Khoa, L.Name: Nguyen, Address: 123 CMT8, City: HCM, State: VN, ZipCode: ABCD, Phone: 0901234567, SSN: 123-456, User: khoa_it_05, Pass: Khoa123!, Confirm: Khoa123!</t>
  </si>
  <si>
    <t>Hệ thống báo lỗi định dạng Zip Code phải là số.</t>
  </si>
  <si>
    <t>TC_REG_007</t>
  </si>
  <si>
    <t>Kiểm tra Phone định dạng chữ</t>
  </si>
  <si>
    <t>Nhập chữ vào ô 'Phone', điền đủ các ô khác</t>
  </si>
  <si>
    <t>F.Name: Khoa, L.Name: Nguyen, Address: 123 CMT8, City: HCM, State: VN, ZipCode: 70000, Phone: HELLO, SSN: 123-456, User: khoa_it_06, Pass: Khoa123!, Confirm: Khoa123!</t>
  </si>
  <si>
    <t>Hệ thống báo lỗi định dạng số điện thoại.</t>
  </si>
  <si>
    <t>TC_REG_008</t>
  </si>
  <si>
    <t>Để trống Username</t>
  </si>
  <si>
    <t>Điền tất cả thông tin, trừ Username</t>
  </si>
  <si>
    <t>F.Name: Khoa, L.Name: Nguyen, Address: 123 CMT8, City: HCM, State: VN, Zip Code: 70000, Phone: 0901234567, SSN: 123-456, User: [Empty], Pass: Khoa123!, Confirm: Khoa123!</t>
  </si>
  <si>
    <t>Hiển thị lỗi: "Username is required."</t>
  </si>
  <si>
    <t>TC_REG_009</t>
  </si>
  <si>
    <t>Để trống Password</t>
  </si>
  <si>
    <t>Điền tất cả thông tin, trừ Password</t>
  </si>
  <si>
    <t>F.Name: Khoa, L.Name: Nguyen, Address: 123 CMT8, City: HCM, State: VN, ZipCode: 70000, Phone: 0901234567, SSN: 123-456, User: khoa_it_07, Pass: [Empty], Confirm: Khoa123!</t>
  </si>
  <si>
    <t>Hiển thị lỗi: "Password is required."</t>
  </si>
  <si>
    <t>TC_REG_010</t>
  </si>
  <si>
    <t>Để trống trường Address</t>
  </si>
  <si>
    <t>Để trống ô 'Address', nhập đủ các ô khác</t>
  </si>
  <si>
    <t>F.Name: Khoa, L.Name: Nguyen, Address: [Empty], City: HCM, State: VN, ZipCode: 70000, Phone: 0901234567, SSN: 123-456, User: khoa_it_08, Pass: Khoa123!, Confirm: Khoa123!</t>
  </si>
  <si>
    <t>Hiển thị lỗi: "Address is required."</t>
  </si>
  <si>
    <t>TC_REG_011</t>
  </si>
  <si>
    <t>Kiểm tra phím TAB khi nhập liệu</t>
  </si>
  <si>
    <t>Click chuột vào trường First Name</t>
  </si>
  <si>
    <t>Nhấn phím TAB trên bàn phím</t>
  </si>
  <si>
    <t>Con trỏ nhảy tuần tự xuống Last Name, Address...</t>
  </si>
  <si>
    <t>TC_REG_012</t>
  </si>
  <si>
    <t>Pass &amp; Confirm đều trống</t>
  </si>
  <si>
    <t>Điền các ô khác, để trống cả 2 ô mật khẩu</t>
  </si>
  <si>
    <t>F.Name: Khoa, L.Name: Nguyen, Address: 123 CMT8, City: HCM, State: VN, ZipCode: 70000, Phone: 0901234567, SSN: 123-456, User: khoa_it_09, Pass: [Empty], Confirm: [Empty]</t>
  </si>
  <si>
    <t>Hiển thị lỗi yêu cầu nhập mật khẩu.</t>
  </si>
  <si>
    <t>TC_REG_013</t>
  </si>
  <si>
    <t>Kiểm tra độ dài tối thiểu Pass</t>
  </si>
  <si>
    <t>Điền các ô khác, nhập mật khẩu chỉ có 1 ký tự</t>
  </si>
  <si>
    <t>F.Name: Khoa, L.Name: Nguyen, Address: 123 CMT8, City: HCM, State: VN, ZipCode: 70000, Phone: 0901234567, SSN: 123-456, User: khoa_it_10, Pass: 1, Confirm: 1</t>
  </si>
  <si>
    <t>Hệ thống yêu cầu độ dài tối thiểu (nếu có quy định).</t>
  </si>
  <si>
    <t>TC_REG_014</t>
  </si>
  <si>
    <t>Kiểm tra Clear data sau khi lỗi</t>
  </si>
  <si>
    <t>Vừa nhận thông báo lỗi (từ TC_013)</t>
  </si>
  <si>
    <t>F5 trang web hoặc click lại menu 'Register'</t>
  </si>
  <si>
    <t>Các ô nhập liệu phải trống trơn, không lưu data cũ.</t>
  </si>
  <si>
    <t>TC_REG_015</t>
  </si>
  <si>
    <t>Đăng ký thành công và tự login</t>
  </si>
  <si>
    <t>Nhập data hợp lệ và hoàn tất đăng ký</t>
  </si>
  <si>
    <t>F.Name: Khoa, L.Name: Nguyen, Address: 456 Le Loi, City: HCM, State: VN, ZipCode: 70000, Phone: 0909999999, SSN: 999-888, User: khoa_it_final, Pass: Khoa123!, Confirm: Khoa123!</t>
  </si>
  <si>
    <t>Quan sát thanh menu trái</t>
  </si>
  <si>
    <t>Xuất hiện menu cá nhân (Log out, Transfer...)</t>
  </si>
  <si>
    <t>II Login / Logout</t>
  </si>
  <si>
    <t>TR_LOG_01</t>
  </si>
  <si>
    <t>TC_LOG_001</t>
  </si>
  <si>
    <t>Đăng nhập thành công</t>
  </si>
  <si>
    <t>User 'khoa_it2026' đã có</t>
  </si>
  <si>
    <t>Nhập User,Pass</t>
  </si>
  <si>
    <t>Accounts Overview</t>
  </si>
  <si>
    <t>Nhấn 'Log In'</t>
  </si>
  <si>
    <t>Đăng nhập thành công, vào trang Overview.</t>
  </si>
  <si>
    <t>TR_LOG_02</t>
  </si>
  <si>
    <t>TC_LOG_002</t>
  </si>
  <si>
    <t>Đăng nhập sai Password</t>
  </si>
  <si>
    <t>Nhập đúng User
Nhập sai Pass</t>
  </si>
  <si>
    <t>Lỗi: "The username and password could not be verified."</t>
  </si>
  <si>
    <t>TC_LOG_003</t>
  </si>
  <si>
    <t>Đăng nhập User không tồn tại</t>
  </si>
  <si>
    <t>Tài khoản chưa đăng ký</t>
  </si>
  <si>
    <t>Nhập User chưa tồn tại</t>
  </si>
  <si>
    <t>User: user_9999</t>
  </si>
  <si>
    <t>TR_LOG_03</t>
  </si>
  <si>
    <t>TC_LOG_004</t>
  </si>
  <si>
    <t>Kiểm tra che giấu Password</t>
  </si>
  <si>
    <t>Đang nhập mật khẩu</t>
  </si>
  <si>
    <t>Nhập ký tự vào ô Password</t>
  </si>
  <si>
    <t>Pass: 123456</t>
  </si>
  <si>
    <t>Ký tự hiển thị dạng dấu chấm hoặc dấu sao.</t>
  </si>
  <si>
    <t>TR_LOG_04</t>
  </si>
  <si>
    <t>TC_LOG_005</t>
  </si>
  <si>
    <t>Đăng xuất thành công</t>
  </si>
  <si>
    <t>Đang ở trạng thái Login</t>
  </si>
  <si>
    <t>Click 'Log Out' ở menu bên trái</t>
  </si>
  <si>
    <t>Thoát về trang chủ, menu cá nhân biến mất.</t>
  </si>
  <si>
    <t>TR_LOG_05</t>
  </si>
  <si>
    <t>TC_LOG_006</t>
  </si>
  <si>
    <t>Click nút Back sau khi Logout</t>
  </si>
  <si>
    <t>Vừa Logout thành công</t>
  </si>
  <si>
    <t>Nhấn nút Back của trình duyệt</t>
  </si>
  <si>
    <t>Không được vào lại trang cũ, yêu cầu login lại.</t>
  </si>
  <si>
    <t>TC_LOG_007</t>
  </si>
  <si>
    <t>Để trống cả User và Pass</t>
  </si>
  <si>
    <t>Trang chủ đang mở</t>
  </si>
  <si>
    <t>Không nhập thông tin gì vào Form login</t>
  </si>
  <si>
    <t>Nhấn nút 'Log In'</t>
  </si>
  <si>
    <t>Hiển thị thông báo yêu cầu nhập thông tin.</t>
  </si>
  <si>
    <t>TC_LOG_008</t>
  </si>
  <si>
    <t>Login bằng phím Enter</t>
  </si>
  <si>
    <t>Đã nhập User/Pass</t>
  </si>
  <si>
    <t>Nhấn phím Enter trên bàn phím</t>
  </si>
  <si>
    <t>Thực hiện đăng nhập giống như click nút.</t>
  </si>
  <si>
    <t>TC_LOG_009</t>
  </si>
  <si>
    <t>Login phân biệt chữ hoa/thường</t>
  </si>
  <si>
    <t>Đã có user 'khoa'</t>
  </si>
  <si>
    <t>Nhập User viết hoa toàn bộ</t>
  </si>
  <si>
    <t>User: KHOA</t>
  </si>
  <si>
    <t>Không cho đăng nhập (nếu hệ thống có phân biệt).</t>
  </si>
  <si>
    <t>TC_LOG_010</t>
  </si>
  <si>
    <t>Kiểm tra link 'Forgot login info'</t>
  </si>
  <si>
    <t>Quên mật khẩu</t>
  </si>
  <si>
    <t>Click liên kết 'Forgot login info?'</t>
  </si>
  <si>
    <t>Chuyển đến trang hỗ trợ tìm lại tài khoản.</t>
  </si>
  <si>
    <t>III Account Overview</t>
  </si>
  <si>
    <t>TR_ACC_01</t>
  </si>
  <si>
    <t>TC_ACC_001</t>
  </si>
  <si>
    <t>Hiển thị đủ các tài khoản</t>
  </si>
  <si>
    <t>Đã login, có 3 tài khoản</t>
  </si>
  <si>
    <t>Click menu 'Accounts Overview'</t>
  </si>
  <si>
    <t>Đếm số lượng dòng tài khoản trên màn hình</t>
  </si>
  <si>
    <t>Hiển thị đủ 3 dòng tương ứng với 3 tài khoản đang có.</t>
  </si>
  <si>
    <t>TR_ACC_02</t>
  </si>
  <si>
    <t>TC_ACC_002</t>
  </si>
  <si>
    <t>Kiểm tra tính tổng (Total)</t>
  </si>
  <si>
    <t>Có ít nhất 2 tài khoản</t>
  </si>
  <si>
    <t>Lấy máy tính cộng tay các giá trị ở cột 'Balance'</t>
  </si>
  <si>
    <t>So sánh với số liệu ở dòng 'Total'</t>
  </si>
  <si>
    <t>Tổng Balance cộng lại khớp chính xác với con số ở dòng Total.</t>
  </si>
  <si>
    <t>TR_ACC_03</t>
  </si>
  <si>
    <t>TC_ACC_003</t>
  </si>
  <si>
    <t>Click vào số tài khoản</t>
  </si>
  <si>
    <t>Đang ở trang Overview</t>
  </si>
  <si>
    <t>Click vào một số ID tài khoản bất kỳ trên bảng</t>
  </si>
  <si>
    <t>ID: 12345</t>
  </si>
  <si>
    <t>Quan sát url và tiêu đề trang mới</t>
  </si>
  <si>
    <t>Chuyển thành công đến trang "Account Details" của tài khoản đó.</t>
  </si>
  <si>
    <t>TR_ACC_04</t>
  </si>
  <si>
    <t>TC_ACC_004</t>
  </si>
  <si>
    <t>Kiểm tra định dạng tiền tệ</t>
  </si>
  <si>
    <t>Quan sát cột Balance và Available Amount</t>
  </si>
  <si>
    <t>Phải có ký hiệu $ và dấu phân cách hàng nghìn/thập phân (VD: $1,000.00).</t>
  </si>
  <si>
    <t>TC_ACC_005</t>
  </si>
  <si>
    <t>Kiểm tra khi chưa có tài khoản nào</t>
  </si>
  <si>
    <t>Tài khoản vừa được tạo mới tinh (chưa có tài khoản con)</t>
  </si>
  <si>
    <t>Quan sát khu vực hiển thị bảng</t>
  </si>
  <si>
    <t>Hiển thị bảng trống hoặc thông báo "Bạn chưa có tài khoản nào".</t>
  </si>
  <si>
    <t>TC_ACC_006</t>
  </si>
  <si>
    <t>Kiểm tra thông báo 'Balance Confirmed'</t>
  </si>
  <si>
    <t>Cuộn xuống cuối trang Accounts Overview</t>
  </si>
  <si>
    <t>Quan sát dòng text nhỏ</t>
  </si>
  <si>
    <t>Hiển thị dòng text "*Balance includes all transactions..." hợp lệ.</t>
  </si>
  <si>
    <t>TC_ACC_007</t>
  </si>
  <si>
    <t>Refresh trang Overview</t>
  </si>
  <si>
    <t>Nhấn F5 hoặc nút Refresh của trình duyệt</t>
  </si>
  <si>
    <t>Dữ liệu vẫn giữ nguyên, không bị mất hoặc báo lỗi.</t>
  </si>
  <si>
    <t>TC_ACC_008</t>
  </si>
  <si>
    <t>Kiểm tra cột 'Available Balance'</t>
  </si>
  <si>
    <t>Đang có 1 giao dịch chờ duyệt</t>
  </si>
  <si>
    <t>So sánh cột Balance và Available Balance</t>
  </si>
  <si>
    <t>Available Balance phải hiển thị số tiền khả dụng (đã trừ đi khoản đang chờ).</t>
  </si>
  <si>
    <t>IV Open New Account</t>
  </si>
  <si>
    <t>TR_OPN_01</t>
  </si>
  <si>
    <t>TC_OPN_001</t>
  </si>
  <si>
    <t>Mở tài khoản CHECKING thành công</t>
  </si>
  <si>
    <t>Đã login</t>
  </si>
  <si>
    <t>Click 'Open New Account'</t>
  </si>
  <si>
    <t>Mở dropdown 'What type of Account would you like to open?'</t>
  </si>
  <si>
    <t>Loại: CHECKING</t>
  </si>
  <si>
    <t>Chọn tài khoản để chuyển tiền vào TK mới</t>
  </si>
  <si>
    <t>Nhấn 'Open New Account'</t>
  </si>
  <si>
    <t>Thông báo "Account Opened!" kèm số ID tài khoản.</t>
  </si>
  <si>
    <t>TC_OPN_002</t>
  </si>
  <si>
    <t>Mở tài khoản SAVINGS thành công</t>
  </si>
  <si>
    <t>Mở dropdown và chọn 'SAVINGS'</t>
  </si>
  <si>
    <t>Loại: SAVINGS</t>
  </si>
  <si>
    <t>Chọn tài khoản nguồn</t>
  </si>
  <si>
    <t>Thông báo "Account Opened!" thành công.</t>
  </si>
  <si>
    <t>TR_OPN_02</t>
  </si>
  <si>
    <t>TC_OPN_003</t>
  </si>
  <si>
    <t>Chọn tài khoản nguồn trích tiền</t>
  </si>
  <si>
    <t>Có sẵn 2 tài khoản nguồn</t>
  </si>
  <si>
    <t>Tại dropdown 'A minimum of $... will be transferred from', chọn TK thứ 2</t>
  </si>
  <si>
    <t>ID: 54321</t>
  </si>
  <si>
    <t>Hệ thống ghi nhận trích tiền thành công từ đúng TK ID 54321.</t>
  </si>
  <si>
    <t>TR_OPN_04</t>
  </si>
  <si>
    <t>TC_OPN_004</t>
  </si>
  <si>
    <t>Tài khoản nguồn không đủ tiền</t>
  </si>
  <si>
    <t>Số dư tài khoản nguồn = $0</t>
  </si>
  <si>
    <t>Thực hiện các bước mở tài khoản mới như trên</t>
  </si>
  <si>
    <t>Hệ thống báo lỗi không đủ số dư tối thiểu để mở tài khoản.</t>
  </si>
  <si>
    <t>TR_OPN_03</t>
  </si>
  <si>
    <t>TC_OPN_005</t>
  </si>
  <si>
    <t>Click vào ID tài khoản mới tạo</t>
  </si>
  <si>
    <t>Vừa có thông báo mở TK thành công</t>
  </si>
  <si>
    <t>Click vào dãy số ID màu đỏ trên màn hình thông báo</t>
  </si>
  <si>
    <t>VD: 19999</t>
  </si>
  <si>
    <t>Quan sát trang mới</t>
  </si>
  <si>
    <t>Trình duyệt chuyển thẳng đến trang chi tiết của TK vừa tạo.</t>
  </si>
  <si>
    <t>TC_OPN_006</t>
  </si>
  <si>
    <t>Kiểm tra giá trị mặc định</t>
  </si>
  <si>
    <t>Vừa click vào menu Open New Account</t>
  </si>
  <si>
    <t>Quan sát 2 ô dropdown</t>
  </si>
  <si>
    <t>Loại tài khoản mặc định được focus là CHECKING.</t>
  </si>
  <si>
    <t>TC_OPN_007</t>
  </si>
  <si>
    <t>Kiểm tra Menu sau khi mở TK</t>
  </si>
  <si>
    <t>Vừa mở thêm TK thành công</t>
  </si>
  <si>
    <t>Click vào lại 'Accounts Overview'</t>
  </si>
  <si>
    <t>Quan sát bảng tài khoản</t>
  </si>
  <si>
    <t>Danh sách xuất hiện thêm 1 dòng tài khoản mới tinh với số dư = số tiền trích.</t>
  </si>
  <si>
    <t>V Transfer Funds</t>
  </si>
  <si>
    <t>TR_TRA_01</t>
  </si>
  <si>
    <t>TC_TRA_011</t>
  </si>
  <si>
    <t>Chuyển tiền thành công</t>
  </si>
  <si>
    <t>Có từ 2 tài khoản trở lên</t>
  </si>
  <si>
    <t>Nhập số tiền vào ô Amount</t>
  </si>
  <si>
    <t>Amount: 100</t>
  </si>
  <si>
    <t>Chọn tài khoản nguồn (From) và đích (To)</t>
  </si>
  <si>
    <t>Nhấn 'Transfer'</t>
  </si>
  <si>
    <t>Hiển thị: "Transfer Complete!".</t>
  </si>
  <si>
    <t>TR_TRA_02</t>
  </si>
  <si>
    <t>TC_TRA_012</t>
  </si>
  <si>
    <t>Số tiền chuyển lớn hơn số dư</t>
  </si>
  <si>
    <t>TK nguồn có $50</t>
  </si>
  <si>
    <t>Nhập số tiền</t>
  </si>
  <si>
    <t>Amount: 1000</t>
  </si>
  <si>
    <t>Báo lỗi không đủ số dư để thực hiện giao dịch.</t>
  </si>
  <si>
    <t>TR_TRA_03</t>
  </si>
  <si>
    <t>TC_TRA_013</t>
  </si>
  <si>
    <t>Số tiền chuyển bằng 0</t>
  </si>
  <si>
    <t>Nhập Amount là 0</t>
  </si>
  <si>
    <t>Amount: 0</t>
  </si>
  <si>
    <t>Báo lỗi số tiền phải lớn hơn 0.</t>
  </si>
  <si>
    <t>TC_TRA_014</t>
  </si>
  <si>
    <t>Số tiền chuyển là số âm</t>
  </si>
  <si>
    <t>Nhập Amount âm</t>
  </si>
  <si>
    <t>Amount: -50</t>
  </si>
  <si>
    <t>Báo lỗi số tiền không hợp lệ.</t>
  </si>
  <si>
    <t>TC_TRA_015</t>
  </si>
  <si>
    <t>Nhập chữ vào ô Amount</t>
  </si>
  <si>
    <t>Nhập ký tự chữ cái vào Amount</t>
  </si>
  <si>
    <t>Amount: abc</t>
  </si>
  <si>
    <t>Hệ thống chặn ký tự chữ hoặc báo lỗi chỉ chấp nhận số.</t>
  </si>
  <si>
    <t>TR_TRA_05</t>
  </si>
  <si>
    <t>TC_TRA_016</t>
  </si>
  <si>
    <t>From &amp; To cùng 1 tài khoản</t>
  </si>
  <si>
    <t>Chọn dropdown From và To trùng nhau</t>
  </si>
  <si>
    <t>123 -&gt; 123</t>
  </si>
  <si>
    <t>Lỗi không thể chuyển tiền cho chính tài khoản nguồn.</t>
  </si>
  <si>
    <t>TC_TRA_017</t>
  </si>
  <si>
    <t>Bỏ trống ô Amount</t>
  </si>
  <si>
    <t>Xóa trắng ô Amount</t>
  </si>
  <si>
    <t>Amount: [Empty]</t>
  </si>
  <si>
    <t>Yêu cầu nhập số tiền bắt buộc.</t>
  </si>
  <si>
    <t>TC_TRA_018</t>
  </si>
  <si>
    <t>Số tiền có phần thập phân</t>
  </si>
  <si>
    <t>Nhập Amount có dấu phẩy/chấm</t>
  </si>
  <si>
    <t>Amount: 10.55</t>
  </si>
  <si>
    <t>Chuyển tiền thành công.</t>
  </si>
  <si>
    <t>TR_TRA_04</t>
  </si>
  <si>
    <t>TC_TRA_019</t>
  </si>
  <si>
    <t>Kiểm tra TK nguồn bị trừ tiền</t>
  </si>
  <si>
    <t>Đang ở trang Transfer</t>
  </si>
  <si>
    <t>Chuyển thành công $50</t>
  </si>
  <si>
    <t>Amount: 50</t>
  </si>
  <si>
    <t>Vào Account Overview kiểm tra</t>
  </si>
  <si>
    <t>TK nguồn giảm chính xác $50.</t>
  </si>
  <si>
    <t>TC_TRA_020</t>
  </si>
  <si>
    <t>Kiểm tra TK đích được cộng tiền</t>
  </si>
  <si>
    <t>TK đích tăng chính xác $50.</t>
  </si>
  <si>
    <t>TC_TRA_021</t>
  </si>
  <si>
    <t>Chuyển số tiền quá lớn</t>
  </si>
  <si>
    <t>TK nguồn có 1 tỷ đô</t>
  </si>
  <si>
    <t>Nhập dãy số siêu dài</t>
  </si>
  <si>
    <t>Amt: 99999999999</t>
  </si>
  <si>
    <t>Hệ thống xử lý không bị crash, báo lỗi vượt quá giới hạn hoặc quá số dư.</t>
  </si>
  <si>
    <t>TC_TRA_022</t>
  </si>
  <si>
    <t>Lịch sử giao dịch - Trừ tiền</t>
  </si>
  <si>
    <t>Vừa chuyển tiền xong</t>
  </si>
  <si>
    <t>Click vào chi tiết TK nguồn</t>
  </si>
  <si>
    <t>Xem bảng Account Activity</t>
  </si>
  <si>
    <t>Xuất hiện 1 dòng Funds Transfer Sent (trừ tiền).</t>
  </si>
  <si>
    <t>TC_TRA_023</t>
  </si>
  <si>
    <t>Lịch sử giao dịch - Cộng tiền</t>
  </si>
  <si>
    <t>Click vào chi tiết TK đích</t>
  </si>
  <si>
    <t>Xuất hiện 1 dòng Funds Transfer Received (cộng tiền).</t>
  </si>
  <si>
    <t>TC_TRA_024</t>
  </si>
  <si>
    <t>Chuyển bằng TK vừa mới mở</t>
  </si>
  <si>
    <t>Vừa tạo TK xong</t>
  </si>
  <si>
    <t>Vào Transfer, chọn From là TK mới</t>
  </si>
  <si>
    <t>Tiến hành chuyển tiền</t>
  </si>
  <si>
    <t>Giao dịch diễn ra bình thường như tài khoản cũ.</t>
  </si>
  <si>
    <t>TC_TRA_025</t>
  </si>
  <si>
    <t>Nhập ký tự đặc biệt</t>
  </si>
  <si>
    <t>Nhập vào ô Amount</t>
  </si>
  <si>
    <t>Amt: @#$</t>
  </si>
  <si>
    <t>Hệ thống báo lỗi định dạng tiền tệ.</t>
  </si>
  <si>
    <t>TC_TRA_026</t>
  </si>
  <si>
    <t>Nhấn đúp nút Transfer (Spam)</t>
  </si>
  <si>
    <t>Điền đủ thông tin hợp lệ</t>
  </si>
  <si>
    <t>Click đúp chuột liên tục vào nút 'Transfer'</t>
  </si>
  <si>
    <t>Tiền chỉ bị trừ 1 lần, không sinh ra nhiều giao dịch trùng lặp.</t>
  </si>
  <si>
    <t>TC_TRA_027</t>
  </si>
  <si>
    <t>Timeout phiên đăng nhập</t>
  </si>
  <si>
    <t>Mở trang Transfer</t>
  </si>
  <si>
    <t>Treo máy không làm gì trong 30 phút</t>
  </si>
  <si>
    <t>Quay lại nhấn 'Transfer'</t>
  </si>
  <si>
    <t>Bị văng ra trang Login, yêu cầu đăng nhập lại do hết hạn Session.</t>
  </si>
  <si>
    <t>TC_TRA_028</t>
  </si>
  <si>
    <t>SQL Injection ô Amount</t>
  </si>
  <si>
    <t>Nhập chuỗi SQL vào Amount</t>
  </si>
  <si>
    <t>100 OR 1=1</t>
  </si>
  <si>
    <t>Báo lỗi định dạng, hệ thống không bị tấn công SQL.</t>
  </si>
  <si>
    <t>TC_TRA_029</t>
  </si>
  <si>
    <t>Kiểm tra UI tiền tệ</t>
  </si>
  <si>
    <t>Vừa chuyển xong</t>
  </si>
  <si>
    <t>Quan sát màn hình Success</t>
  </si>
  <si>
    <t>Số tiền hiển thị đúng định dạng $xxx.xx trên màn hình thông báo.</t>
  </si>
  <si>
    <t>TC_TRA_030</t>
  </si>
  <si>
    <t>Chuyển toàn bộ số dư</t>
  </si>
  <si>
    <t>TK nguồn có chính xác $100</t>
  </si>
  <si>
    <t>Nhập đúng số dư hiện có</t>
  </si>
  <si>
    <t>Giao dịch thành công, số dư TK nguồn về $0.</t>
  </si>
  <si>
    <t>VI Bill Pay</t>
  </si>
  <si>
    <t>TR_BIL_01</t>
  </si>
  <si>
    <t>TC_BIL_011</t>
  </si>
  <si>
    <t>Thanh toán hóa đơn thành công</t>
  </si>
  <si>
    <t>Có đủ số dư</t>
  </si>
  <si>
    <t>Nhập đủ Payee Info (Name, Address...)</t>
  </si>
  <si>
    <t>Name: Nước sạch SG, Address: 123 DBP, City: HCM, State: VN, Zip: 70000, Phone: 0901112222</t>
  </si>
  <si>
    <t>Nhập Account &amp; Amount</t>
  </si>
  <si>
    <t>Acc: 13579, Verify: 13579, Amount: 50</t>
  </si>
  <si>
    <t>Nhấn 'Send Payment'</t>
  </si>
  <si>
    <t>Thông báo "Bill Payment to Nước sạch SG in the amount of $50.00 was successful".</t>
  </si>
  <si>
    <t>TR_BIL_02</t>
  </si>
  <si>
    <t>TC_BIL_012</t>
  </si>
  <si>
    <t>Bỏ trống Payee Name</t>
  </si>
  <si>
    <t>Trang Bill Pay mở</t>
  </si>
  <si>
    <t>Bỏ trống Payee Name, nhập các ô khác</t>
  </si>
  <si>
    <t>Name: [Empty], Address: 123 DBP, City: HCM, State: VN, Zip: 70000, Phone: 0901112222, Acc: 13579, Verify: 13579, Amount: 50</t>
  </si>
  <si>
    <t>Nhấn Send Payment</t>
  </si>
  <si>
    <t>Lỗi: Payee name is required.</t>
  </si>
  <si>
    <t>TC_BIL_013</t>
  </si>
  <si>
    <t>Bỏ trống Address</t>
  </si>
  <si>
    <t>Name: Nước sạch SG, Address: [Empty], City: HCM, State: VN, Zip: 70000, Phone: 0901112222, Acc: 13579, Verify: 13579, Amount: 50</t>
  </si>
  <si>
    <t>Lỗi: Address is required.</t>
  </si>
  <si>
    <t>TC_BIL_014</t>
  </si>
  <si>
    <t>Bỏ trống City</t>
  </si>
  <si>
    <t>Name: Nước sạch SG, Address: 123 DBP, City: [Empty], State: VN, Zip: 70000, Phone: 0901112222, Acc: 13579, Verify: 13579, Amount: 50</t>
  </si>
  <si>
    <t>Lỗi: City is required.</t>
  </si>
  <si>
    <t>TC_BIL_015</t>
  </si>
  <si>
    <t>Bỏ trống State</t>
  </si>
  <si>
    <t>Name: Nước sạch SG, Address: 123 DBP, City: HCM, State: [Empty], Zip: 70000, Phone: 0901112222, Acc: 13579, Verify: 13579, Amount: 50</t>
  </si>
  <si>
    <t>Lỗi: State is required.</t>
  </si>
  <si>
    <t>TC_BIL_016</t>
  </si>
  <si>
    <t>Bỏ trống Zip Code</t>
  </si>
  <si>
    <t>Name: Nước sạch SG, Address: 123 DBP, City: HCM, State: VN, Zip: [Empty], Phone: 0901112222, Acc: 13579, Verify: 13579, Amount: 50</t>
  </si>
  <si>
    <t>Lỗi: Zip Code is required.</t>
  </si>
  <si>
    <t>TR_BIL_04</t>
  </si>
  <si>
    <t>TC_BIL_017</t>
  </si>
  <si>
    <t>Zip Code là chữ</t>
  </si>
  <si>
    <t>Nhập chữ vào Zip Code</t>
  </si>
  <si>
    <t>Name: Nước sạch SG, Address: 123 DBP, City: HCM, State: VN, Zip: ABCD, Phone: 0901112222, Acc: 13579, Verify: 13579, Amount: 50</t>
  </si>
  <si>
    <t>TC_BIL_018</t>
  </si>
  <si>
    <t>Bỏ trống Phone</t>
  </si>
  <si>
    <t>Name: Nước sạch SG, Address: 123 DBP, City: HCM, State: VN, Zip: 70000, Phone: [Empty], Acc: 13579, Verify: 13579, Amount: 50</t>
  </si>
  <si>
    <t>Lỗi: Phone number is required.</t>
  </si>
  <si>
    <t>TC_BIL_019</t>
  </si>
  <si>
    <t>Phone là chữ</t>
  </si>
  <si>
    <t>Nhập chữ vào Phone</t>
  </si>
  <si>
    <t>Name: Nước sạch SG, Address: 123 DBP, City: HCM, State: VN, Zip: 70000, Phone: HELLO, Acc: 13579, Verify: 13579, Amount: 50</t>
  </si>
  <si>
    <t>Hệ thống báo lỗi định dạng Phone phải là số.</t>
  </si>
  <si>
    <t>TC_BIL_020</t>
  </si>
  <si>
    <t>Bỏ trống Account</t>
  </si>
  <si>
    <t>Name: Nước sạch SG, Address: 123 DBP, City: HCM, State: VN, Zip: 70000, Phone: 0901112222, Acc: [Empty], Verify: 13579, Amount: 50</t>
  </si>
  <si>
    <t>Lỗi: Account number is required.</t>
  </si>
  <si>
    <t>TR_BIL_03</t>
  </si>
  <si>
    <t>TC_BIL_021</t>
  </si>
  <si>
    <t>Verify Account không khớp</t>
  </si>
  <si>
    <t>Nhập Account và Verify khác nhau</t>
  </si>
  <si>
    <t>Name: Nước sạch SG, Address: 123 DBP, City: HCM, State: VN, Zip: 70000, Phone: 0901112222, Acc: 13579, Verify: 99999, Amount: 50</t>
  </si>
  <si>
    <t>Lỗi: The account numbers do not match.</t>
  </si>
  <si>
    <t>TC_BIL_022</t>
  </si>
  <si>
    <t>Bỏ trống Verify Account</t>
  </si>
  <si>
    <t>Name: Nước sạch SG, Address: 123 DBP, City: HCM, State: VN, Zip: 70000, Phone: 0901112222, Acc: 13579, Verify: [Empty], Amount: 50</t>
  </si>
  <si>
    <t>Lỗi: Verify Account is required.</t>
  </si>
  <si>
    <t>TC_BIL_023</t>
  </si>
  <si>
    <t>Bỏ trống Amount</t>
  </si>
  <si>
    <t>Name: Nước sạch SG, Address: 123 DBP, City: HCM, State: VN, Zip: 70000, Phone: 0901112222, Acc: 13579, Verify: 13579, Amount: [Empty]</t>
  </si>
  <si>
    <t>Lỗi: The amount cannot be empty.</t>
  </si>
  <si>
    <t>TR_BIL_05</t>
  </si>
  <si>
    <t>TC_BIL_024</t>
  </si>
  <si>
    <t>Amount bằng 0</t>
  </si>
  <si>
    <t>Name: Nước sạch SG, Address: 123 DBP, City: HCM, State: VN, Zip: 70000, Phone: 0901112222, Acc: 13579, Verify: 13579, Amount: 0</t>
  </si>
  <si>
    <t>Lỗi: Số tiền thanh toán không hợp lệ.</t>
  </si>
  <si>
    <t>TC_BIL_025</t>
  </si>
  <si>
    <t>Amount là số âm</t>
  </si>
  <si>
    <t>Name: Nước sạch SG, Address: 123 DBP, City: HCM, State: VN, Zip: 70000, Phone: 0901112222, Acc: 13579, Verify: 13579, Amount: -50</t>
  </si>
  <si>
    <t>TC_BIL_026</t>
  </si>
  <si>
    <t>Amount chứa ký tự chữ</t>
  </si>
  <si>
    <t>Name: Nước sạch SG, Address: 123 DBP, City: HCM, State: VN, Zip: 70000, Phone: 0901112222, Acc: 13579, Verify: 13579, Amount: Năm mươi</t>
  </si>
  <si>
    <t>Hệ thống báo lỗi định dạng số tiền.</t>
  </si>
  <si>
    <t>TC_BIL_027</t>
  </si>
  <si>
    <t>TK nguồn không đủ tiền</t>
  </si>
  <si>
    <t>TK có $10</t>
  </si>
  <si>
    <t>Nhập Amount &gt; $10</t>
  </si>
  <si>
    <t>Nhấn Send</t>
  </si>
  <si>
    <t>Báo lỗi không đủ số dư để thực hiện thanh toán.</t>
  </si>
  <si>
    <t>TR_BIL_06</t>
  </si>
  <si>
    <t>TC_BIL_028</t>
  </si>
  <si>
    <t>Kiểm tra TK bị trừ tiền</t>
  </si>
  <si>
    <t>Bill Pay thành công</t>
  </si>
  <si>
    <t>Vào menu 'Account Overview'</t>
  </si>
  <si>
    <t>Kiểm tra số dư TK đã chọn để trích tiền</t>
  </si>
  <si>
    <t>Số dư bị trừ khớp chính xác với số tiền đã thanh toán.</t>
  </si>
  <si>
    <t>TC_BIL_029</t>
  </si>
  <si>
    <t>Kiểm tra lịch sử TK</t>
  </si>
  <si>
    <t>Vừa thanh toán xong</t>
  </si>
  <si>
    <t>Vào chi tiết tài khoản vừa trích tiền</t>
  </si>
  <si>
    <t>Hiển thị 1 dòng giao dịch Debit: "Bill Payment to [Tên Payee]".</t>
  </si>
  <si>
    <t>TC_BIL_030</t>
  </si>
  <si>
    <t>Payee có ký tự đặc biệt</t>
  </si>
  <si>
    <t>Nhập Payee Name có ký tự nháy đơn</t>
  </si>
  <si>
    <t>Payee: O'Connor</t>
  </si>
  <si>
    <t>Hệ thống chấp nhận thanh toán hợp lệ, không lỗi SQL.</t>
  </si>
  <si>
    <t>VII Find Transactions</t>
  </si>
  <si>
    <t>TR_FND_01</t>
  </si>
  <si>
    <t>TC_FND_011</t>
  </si>
  <si>
    <t>Tìm theo Transaction ID đúng</t>
  </si>
  <si>
    <t>Có sẵn giao dịch</t>
  </si>
  <si>
    <t>Nhập ID hợp lệ vào ô 'Find by Transaction ID'</t>
  </si>
  <si>
    <t>ID: 14522</t>
  </si>
  <si>
    <t>Nhấn 'Find Transactions' tương ứng</t>
  </si>
  <si>
    <t>Hiển thị bảng kết quả duy nhất giao dịch mang ID đó.</t>
  </si>
  <si>
    <t>TC_FND_012</t>
  </si>
  <si>
    <t>Tìm ID không tồn tại</t>
  </si>
  <si>
    <t>Đang ở Find Trans</t>
  </si>
  <si>
    <t>Nhập ID ảo chưa từng có</t>
  </si>
  <si>
    <t>ID: 99999</t>
  </si>
  <si>
    <t>Nhấn Tìm ID</t>
  </si>
  <si>
    <t>Lỗi hoặc thông báo không tìm thấy kết quả.</t>
  </si>
  <si>
    <t>TC_FND_013</t>
  </si>
  <si>
    <t>ID chứa chữ cái</t>
  </si>
  <si>
    <t>Nhập ID có chữ cái</t>
  </si>
  <si>
    <t>ID: ABC</t>
  </si>
  <si>
    <t>Báo lỗi định dạng ID phải là số.</t>
  </si>
  <si>
    <t>TR_FND_02</t>
  </si>
  <si>
    <t>TC_FND_014</t>
  </si>
  <si>
    <t>Tìm theo Date hợp lệ</t>
  </si>
  <si>
    <t>Có GD ngày 11-20-2025</t>
  </si>
  <si>
    <t>Nhập Date đúng định dạng</t>
  </si>
  <si>
    <t>Date: 11-20-2025</t>
  </si>
  <si>
    <t>Nhấn Tìm theo Date</t>
  </si>
  <si>
    <t>Liệt kê tất cả các giao dịch phát sinh trong ngày đó.</t>
  </si>
  <si>
    <t>TC_FND_015</t>
  </si>
  <si>
    <t>Date không có giao dịch</t>
  </si>
  <si>
    <t>Nhập Date quá khứ không có GD</t>
  </si>
  <si>
    <t>Date: 01-01-1990</t>
  </si>
  <si>
    <t>Hiển thị thông báo không có kết quả phù hợp.</t>
  </si>
  <si>
    <t>TC_FND_016</t>
  </si>
  <si>
    <t>Sai định dạng Date</t>
  </si>
  <si>
    <t>Nhập sai định dạng MM-DD-YYYY</t>
  </si>
  <si>
    <t>Date: 2025/11/20</t>
  </si>
  <si>
    <t>Hệ thống báo lỗi yêu cầu nhập đúng định dạng MM-DD-YYYY.</t>
  </si>
  <si>
    <t>TC_FND_017</t>
  </si>
  <si>
    <t>Tìm theo Date Range hợp lệ</t>
  </si>
  <si>
    <t>Có GD trong khoảng</t>
  </si>
  <si>
    <t>Nhập Between... And...</t>
  </si>
  <si>
    <t>Từ 11-01 tới 11-30</t>
  </si>
  <si>
    <t>Nhấn Tìm Range</t>
  </si>
  <si>
    <t>Liệt kê toàn bộ giao dịch thỏa mãn khoảng thời gian.</t>
  </si>
  <si>
    <t>TC_FND_018</t>
  </si>
  <si>
    <t>Date From lớn hơn Date To</t>
  </si>
  <si>
    <t>Nhập From Date lớn hơn To Date</t>
  </si>
  <si>
    <t>Lùi ngày</t>
  </si>
  <si>
    <t>Báo lỗi logic: Ngày bắt đầu không thể lớn hơn ngày kết thúc.</t>
  </si>
  <si>
    <t>TR_FND_03</t>
  </si>
  <si>
    <t>TC_FND_019</t>
  </si>
  <si>
    <t>Tìm theo Amount hợp lệ</t>
  </si>
  <si>
    <t>Có GD trị giá $50</t>
  </si>
  <si>
    <t>Nhập Amount đúng</t>
  </si>
  <si>
    <t>Amt: 50</t>
  </si>
  <si>
    <t>Nhấn Tìm Amount</t>
  </si>
  <si>
    <t>Liệt kê các giao dịch có giá trị đúng 50 (bất kể Debit/Credit).</t>
  </si>
  <si>
    <t>TC_FND_020</t>
  </si>
  <si>
    <t>Tìm Amount không tồn tại</t>
  </si>
  <si>
    <t>Nhập Amount rất lớn</t>
  </si>
  <si>
    <t>Amt: 9999</t>
  </si>
  <si>
    <t>Thông báo không tìm thấy kết quả.</t>
  </si>
  <si>
    <t>TC_FND_021</t>
  </si>
  <si>
    <t>Amt: -10</t>
  </si>
  <si>
    <t>Lỗi định dạng số tiền.</t>
  </si>
  <si>
    <t>TC_FND_022</t>
  </si>
  <si>
    <t>Xem chi tiết từ kết quả tìm</t>
  </si>
  <si>
    <t>Đã hiển thị kết quả</t>
  </si>
  <si>
    <t>Click vào link ID trên kết quả tìm kiếm</t>
  </si>
  <si>
    <t>Quan sát trang chuyển hướng</t>
  </si>
  <si>
    <t>Chuyển đến trang chi tiết "Transaction Details" của ID đó.</t>
  </si>
  <si>
    <t>TC_FND_023</t>
  </si>
  <si>
    <t>Bỏ trống tất cả các trường</t>
  </si>
  <si>
    <t>Để trống toàn bộ Form</t>
  </si>
  <si>
    <t>Nhấn các nút Find bất kỳ</t>
  </si>
  <si>
    <t>Hệ thống yêu cầu điền thông tin tìm kiếm.</t>
  </si>
  <si>
    <t>TC_FND_024</t>
  </si>
  <si>
    <t>Nhập cùng lúc nhiều tiêu chí</t>
  </si>
  <si>
    <t>Nhập cả ID, Date, Amount trên 1 màn hình</t>
  </si>
  <si>
    <t>Đầy đủ form</t>
  </si>
  <si>
    <t>Nhấn nút Tìm ID</t>
  </si>
  <si>
    <t>Chỉ thực hiện query theo tiêu chí của nút Find được click (ID).</t>
  </si>
  <si>
    <t>TC_FND_025</t>
  </si>
  <si>
    <t>XSS trên ô tìm kiếm</t>
  </si>
  <si>
    <t>Nhập đoạn mã script vào ô Amount hoặc Date</t>
  </si>
  <si>
    <t>&lt;script&gt;alert(1)&lt;/script&gt;</t>
  </si>
  <si>
    <t>Nhấn Tìm</t>
  </si>
  <si>
    <t>Không bật popup alert, web xử lý mã độc an toàn.</t>
  </si>
  <si>
    <t>VIII Update Contact Info</t>
  </si>
  <si>
    <t>TR_UPD_01</t>
  </si>
  <si>
    <t>TC_UPD_011</t>
  </si>
  <si>
    <t>Cập nhật thông tin thành công</t>
  </si>
  <si>
    <t>Sửa đổi thông tin Address và Phone</t>
  </si>
  <si>
    <t>F.Name: Khoa, L.Name: Nguyen, Address: 456 Le Loi, City: Da Nang, State: VN, Zip: 55000, Phone: 0988888888</t>
  </si>
  <si>
    <t>Nhấn 'Update Profile'</t>
  </si>
  <si>
    <t>Hiển thị: "Profile Updated" và dữ liệu trên form lưu mới.</t>
  </si>
  <si>
    <t>TR_UPD_02</t>
  </si>
  <si>
    <t>TC_UPD_012</t>
  </si>
  <si>
    <t>Xóa trắng First Name</t>
  </si>
  <si>
    <t>Đang ở trang Update</t>
  </si>
  <si>
    <t>Xóa trắng nội dung ô First Name</t>
  </si>
  <si>
    <t>F.Name: [Empty], L.Name: Nguyen, Address: 456 Le Loi, City: Da Nang, State: VN, Zip: 55000, Phone: 0988888888</t>
  </si>
  <si>
    <t>Lỗi: First name is required.</t>
  </si>
  <si>
    <t>TC_UPD_013</t>
  </si>
  <si>
    <t>Xóa trắng Last Name</t>
  </si>
  <si>
    <t>Xóa trắng nội dung ô Last Name</t>
  </si>
  <si>
    <t>F.Name: Khoa, L.Name: [Empty], Address: 456 Le Loi, City: Da Nang, State: VN, Zip: 55000, Phone: 0988888888</t>
  </si>
  <si>
    <t>Lỗi: Last name is required.</t>
  </si>
  <si>
    <t>TC_UPD_014</t>
  </si>
  <si>
    <t>Xóa trắng Address</t>
  </si>
  <si>
    <t>Xóa trắng nội dung ô Address</t>
  </si>
  <si>
    <t>F.Name: Khoa, L.Name: Nguyen, Address: [Empty], City: Da Nang, State: VN, Zip: 55000, Phone: 0988888888</t>
  </si>
  <si>
    <t>TC_UPD_015</t>
  </si>
  <si>
    <t>Xóa trắng City</t>
  </si>
  <si>
    <t>Xóa trắng nội dung ô City</t>
  </si>
  <si>
    <t>F.Name: Khoa, L.Name: Nguyen, Address: 456 Le Loi, City: [Empty], State: VN, Zip: 55000, Phone: 0988888888</t>
  </si>
  <si>
    <t>TC_UPD_016</t>
  </si>
  <si>
    <t>Xóa trắng State</t>
  </si>
  <si>
    <t>Xóa trắng nội dung ô State</t>
  </si>
  <si>
    <t>F.Name: Khoa, L.Name: Nguyen, Address: 456 Le Loi, City: Da Nang, State: [Empty], Zip: 55000, Phone: 0988888888</t>
  </si>
  <si>
    <t>TC_UPD_017</t>
  </si>
  <si>
    <t>Sửa Zip Code thành chữ</t>
  </si>
  <si>
    <t>Sửa Zip Code thành chữ cái</t>
  </si>
  <si>
    <t>F.Name: Khoa, L.Name: Nguyen, Address: 456 Le Loi, City: Da Nang, State: VN, Zip: ABCD, Phone: 0988888888</t>
  </si>
  <si>
    <t>Báo lỗi định dạng Zip Code phải là số.</t>
  </si>
  <si>
    <t>TC_UPD_018</t>
  </si>
  <si>
    <t>Không đổi gì nhưng vẫn Update</t>
  </si>
  <si>
    <t>Giữ nguyên mọi thông tin cũ trên form</t>
  </si>
  <si>
    <t>Vẫn báo "Profile Updated" bình thường, không crash.</t>
  </si>
  <si>
    <t>TR_UPD_03</t>
  </si>
  <si>
    <t>TC_UPD_019</t>
  </si>
  <si>
    <t>Lưu trữ DB (Data Persistence)</t>
  </si>
  <si>
    <t>Vừa cập nhật xong</t>
  </si>
  <si>
    <t>Click Logout khỏi hệ thống</t>
  </si>
  <si>
    <t>Login lại, vào Update Contact Info</t>
  </si>
  <si>
    <t>Dữ liệu hiển thị phải là dữ liệu mới vừa cập nhật trước đó.</t>
  </si>
  <si>
    <t>TC_UPD_020</t>
  </si>
  <si>
    <t>Nhập ký tự quá dài vào Phone</t>
  </si>
  <si>
    <t>Nhập chuỗi 50 số vào Phone</t>
  </si>
  <si>
    <t>F.Name: Khoa, L.Name: Nguyen, Address: 456 Le Loi, City: Da Nang, State: VN, Zip: 55000, Phone: 01234567890123456789012345678901234567890123456789</t>
  </si>
  <si>
    <t>Hệ thống có thể cắt bớt ký tự hoặc báo lỗi vượt quá độ dài.</t>
  </si>
  <si>
    <t>IX Request Loan</t>
  </si>
  <si>
    <t>TR_LON_01</t>
  </si>
  <si>
    <t>TC_LON_011</t>
  </si>
  <si>
    <t>Yêu cầu vay thành công (Approved)</t>
  </si>
  <si>
    <t>Đã Login</t>
  </si>
  <si>
    <t>Nhập số tiền vay và cọc</t>
  </si>
  <si>
    <t>Loan Amount: 1000, Down Payment: 200</t>
  </si>
  <si>
    <t>Chọn tài khoản trích cọc và nhấn 'Apply Now'</t>
  </si>
  <si>
    <t>From account: 13579</t>
  </si>
  <si>
    <t>Báo "Loan Request Approved".</t>
  </si>
  <si>
    <t>TR_LON_02</t>
  </si>
  <si>
    <t>TC_LON_012</t>
  </si>
  <si>
    <t>Vay bị từ chối (Denied)</t>
  </si>
  <si>
    <t>Nhập tiền vay cao, cọc quá thấp</t>
  </si>
  <si>
    <t>Loan Amount: 10000, Down Payment: 1</t>
  </si>
  <si>
    <t>Báo "Loan Request Denied".</t>
  </si>
  <si>
    <t>TC_LON_013</t>
  </si>
  <si>
    <t>Bỏ trống Loan Amount</t>
  </si>
  <si>
    <t>Đang ở trang Loan</t>
  </si>
  <si>
    <t>Xóa trắng ô Loan Amount</t>
  </si>
  <si>
    <t>Loan Amount: [Empty], Down Payment: 200</t>
  </si>
  <si>
    <t>Nhấn 'Apply Now'</t>
  </si>
  <si>
    <t>Lỗi yêu cầu nhập số tiền vay.</t>
  </si>
  <si>
    <t>TC_LON_014</t>
  </si>
  <si>
    <t>Bỏ trống Down Payment</t>
  </si>
  <si>
    <t>Xóa trắng ô Down Payment</t>
  </si>
  <si>
    <t>Loan Amount: 1000, Down Payment: [Empty]</t>
  </si>
  <si>
    <t>Lỗi yêu cầu nhập số tiền trả trước.</t>
  </si>
  <si>
    <t>TC_LON_015</t>
  </si>
  <si>
    <t>Loan Amount là chữ</t>
  </si>
  <si>
    <t>Nhập chữ vào Loan Amount</t>
  </si>
  <si>
    <t>Loan: ABC</t>
  </si>
  <si>
    <t>TC_LON_016</t>
  </si>
  <si>
    <t>Down Payment là chữ</t>
  </si>
  <si>
    <t>Nhập chữ vào Down Payment</t>
  </si>
  <si>
    <t>Down: ABC</t>
  </si>
  <si>
    <t>TC_LON_017</t>
  </si>
  <si>
    <t>Loan Amount = 0</t>
  </si>
  <si>
    <t>Nhập Loan Amount = 0</t>
  </si>
  <si>
    <t>Loan: 0</t>
  </si>
  <si>
    <t>Báo lỗi số tiền vay phải lớn hơn 0.</t>
  </si>
  <si>
    <t>TC_LON_018</t>
  </si>
  <si>
    <t>Loan Amount là số âm</t>
  </si>
  <si>
    <t>Nhập Loan Amount = -500</t>
  </si>
  <si>
    <t>Loan: -500</t>
  </si>
  <si>
    <t>Lỗi định dạng số tiền không hợp lệ.</t>
  </si>
  <si>
    <t>TC_LON_019</t>
  </si>
  <si>
    <t>Down Payment &gt; Loan Amount</t>
  </si>
  <si>
    <t>Nhập tiền cọc lớn hơn tiền vay</t>
  </si>
  <si>
    <t>Loan: 500, Down: 1000</t>
  </si>
  <si>
    <t>Báo lỗi logic: Tiền cọc không được lớn hơn tiền vay.</t>
  </si>
  <si>
    <t>TR_LON_03</t>
  </si>
  <si>
    <t>TC_LON_020</t>
  </si>
  <si>
    <t>Chọn TK trích Down Payment</t>
  </si>
  <si>
    <t>Có nhiều TK</t>
  </si>
  <si>
    <t>Mở dropdown, chọn tài khoản nguồn khác mặc định</t>
  </si>
  <si>
    <t>Apply Now (Vay thành công)</t>
  </si>
  <si>
    <t>Tiền Down Payment bị trừ từ đúng tài khoản nguồn đã chọn.</t>
  </si>
  <si>
    <t>TC_LON_021</t>
  </si>
  <si>
    <t>Số dư TK nguồn &lt; Down Payment</t>
  </si>
  <si>
    <t>Nhập Down Payment = 100</t>
  </si>
  <si>
    <t>Down: 100</t>
  </si>
  <si>
    <t>Báo lỗi: Số dư tài khoản trích không đủ để thanh toán cọc.</t>
  </si>
  <si>
    <t>TC_LON_022</t>
  </si>
  <si>
    <t>Link Account ID khi Approved</t>
  </si>
  <si>
    <t>Vừa Approved xong</t>
  </si>
  <si>
    <t>Click vào ID tài khoản Loan màu đỏ trên màn hình</t>
  </si>
  <si>
    <t>Chuyển thẳng đến trang chi tiết "Account Details" của tài khoản vay.</t>
  </si>
  <si>
    <t>TC_LON_023</t>
  </si>
  <si>
    <t>TK nguồn sau khi Denied</t>
  </si>
  <si>
    <t>Vừa bị Denied xong</t>
  </si>
  <si>
    <t>Vào 'Accounts Overview'</t>
  </si>
  <si>
    <t>Kiểm tra số dư TK nguồn</t>
  </si>
  <si>
    <t>Tiền trong TK nguồn không bị trừ đi do khoản vay bị từ chối.</t>
  </si>
  <si>
    <t>TC_LON_024</t>
  </si>
  <si>
    <t>Vay số tiền lẻ thập phân</t>
  </si>
  <si>
    <t>Nhập Loan có dấu thập phân</t>
  </si>
  <si>
    <t>Loan: 500.25</t>
  </si>
  <si>
    <t>Hệ thống chấp nhận và phê duyệt bình thường (nếu đủ điều kiện).</t>
  </si>
  <si>
    <t>TC_LON_025</t>
  </si>
  <si>
    <t>Submit liên tục (Spam)</t>
  </si>
  <si>
    <t>Click đúp chuột/nhấn liên tục nút 'Apply Now'</t>
  </si>
  <si>
    <t>Hệ thống chặn thao tác trùng, chỉ ghi nhận 1 lệnh vay duy nhất.</t>
  </si>
  <si>
    <t>General Information</t>
  </si>
  <si>
    <t>Project</t>
  </si>
  <si>
    <t>NganHang</t>
  </si>
  <si>
    <t>Module</t>
  </si>
  <si>
    <t>&lt;Module name&gt;</t>
  </si>
  <si>
    <t>Test Designed By</t>
  </si>
  <si>
    <t>Reviewed By</t>
  </si>
  <si>
    <t>Test Designed Date</t>
  </si>
  <si>
    <t>Reviewed Date</t>
  </si>
  <si>
    <t>&lt;dd-Mmm-yyyy&gt;</t>
  </si>
  <si>
    <t>List of Test Requirements</t>
  </si>
  <si>
    <t>Requirement Functions</t>
  </si>
  <si>
    <t>Mô tả chức năng</t>
  </si>
  <si>
    <t>Test Requirement Description</t>
  </si>
  <si>
    <t>Test Type</t>
  </si>
  <si>
    <t>Importance</t>
  </si>
  <si>
    <t>Number of TCs</t>
  </si>
  <si>
    <t>Note</t>
  </si>
  <si>
    <t>User Registration</t>
  </si>
  <si>
    <t>Đăng ký tài khoản</t>
  </si>
  <si>
    <t>Kiểm tra đăng ký thành công với tất cả thông tin hợp lệ</t>
  </si>
  <si>
    <t>Positive</t>
  </si>
  <si>
    <t>High</t>
  </si>
  <si>
    <t>Kiểm tra trùng lặp</t>
  </si>
  <si>
    <t>Đăng ký với Username đã tồn tại trong hệ thống</t>
  </si>
  <si>
    <t>Negative</t>
  </si>
  <si>
    <t>Kiểm tra mật khẩu</t>
  </si>
  <si>
    <t>Xác nhận mật khẩu (Repeat Password) không khớp với mật khẩu chính</t>
  </si>
  <si>
    <t>Medium</t>
  </si>
  <si>
    <t>Kiểm tra các trường bắt buộc</t>
  </si>
  <si>
    <t>Để trống các trường bắt buộc (First Name, SSN, v.v.) khi đăng ký</t>
  </si>
  <si>
    <t>Định dạng dữ liệu</t>
  </si>
  <si>
    <t>Kiểm tra độ dài và ký tự đặc biệt trong các trường Zip Code, Phone</t>
  </si>
  <si>
    <t>Boundary</t>
  </si>
  <si>
    <t>Login / Logout</t>
  </si>
  <si>
    <t>Đăng nhập với Username và Password chính xác</t>
  </si>
  <si>
    <t>Sai thông tin đăng nhập</t>
  </si>
  <si>
    <t>Đăng nhập với sai mật khẩu hoặc tài khoản không tồn tại</t>
  </si>
  <si>
    <t>Bảo mật mật khẩu</t>
  </si>
  <si>
    <t>Kiểm tra mật khẩu hiển thị dưới dạng dấu chấm hoặc ký tự che giấu</t>
  </si>
  <si>
    <t>LooknFeel</t>
  </si>
  <si>
    <t>Đăng xuất</t>
  </si>
  <si>
    <t>Kiểm tra người dùng có thể thoát khỏi hệ thống hoàn toàn</t>
  </si>
  <si>
    <t>Truy cập sau đăng xuất</t>
  </si>
  <si>
    <t>Kiểm tra không thể dùng nút "Back" trình duyệt để quay lại trang cá nhân sau khi Logout</t>
  </si>
  <si>
    <t>Account Overview</t>
  </si>
  <si>
    <t>Hiển thị danh sách</t>
  </si>
  <si>
    <t>Kiểm tra hiển thị đúng tất cả tài khoản (Checking/Savings) đang sở hữu</t>
  </si>
  <si>
    <t>Tính toán số dư</t>
  </si>
  <si>
    <t>Kiểm tra "Total Balance" là tổng chính xác của các tài khoản con</t>
  </si>
  <si>
    <t>Liên kết chi tiết</t>
  </si>
  <si>
    <t>Click vào Account Number dẫn đúng đến trang chi tiết giao dịch</t>
  </si>
  <si>
    <t>Định dạng tiền tệ</t>
  </si>
  <si>
    <t>Kiểm tra số dư hiển thị đúng định dạng $ (USD)</t>
  </si>
  <si>
    <t>Low</t>
  </si>
  <si>
    <t>Open New Account</t>
  </si>
  <si>
    <t>Chọn loại tài khoản</t>
  </si>
  <si>
    <t>Mở tài khoản mới với đầy đủ các loại (Checking/Savings)</t>
  </si>
  <si>
    <t>Tài khoản nguồn</t>
  </si>
  <si>
    <t>Chọn tài khoản hiện có để trích tiền ký quỹ ban đầu</t>
  </si>
  <si>
    <t>Thông báo thành công</t>
  </si>
  <si>
    <t>Hiển thị Account ID mới và thông báo mở tài khoản thành công</t>
  </si>
  <si>
    <t>Kiểm tra số dư nguồn</t>
  </si>
  <si>
    <t>Mở tài khoản khi tài khoản nguồn không đủ số dư tối thiểu</t>
  </si>
  <si>
    <t>Transfer Funds</t>
  </si>
  <si>
    <t>Chuyển tiền hợp lệ</t>
  </si>
  <si>
    <t>Thực hiện chuyển tiền giữa hai tài khoản nội bộ thành công</t>
  </si>
  <si>
    <t>Số dư không đủ</t>
  </si>
  <si>
    <t>Chuyển số tiền lớn hơn số dư hiện có trong tài khoản nguồn</t>
  </si>
  <si>
    <t>Số tiền không hợp lệ</t>
  </si>
  <si>
    <t>Nhập số tiền bằng 0, số âm hoặc ký tự chữ vào ô Amount</t>
  </si>
  <si>
    <t>Đồng bộ số dư</t>
  </si>
  <si>
    <t>Kiểm tra số dư tài khoản nguồn giảm và tài khoản đích tăng ngay lập tức</t>
  </si>
  <si>
    <t>Trùng tài khoản</t>
  </si>
  <si>
    <t>Kiểm tra lỗi khi tài khoản nguồn và đích giống hệt nhau</t>
  </si>
  <si>
    <t>Bill Pay</t>
  </si>
  <si>
    <t>Thanh toán hợp lệ</t>
  </si>
  <si>
    <t>Thanh toán hóa đơn thành công cho người thụ hưởng mới</t>
  </si>
  <si>
    <t>Trường bắt buộc</t>
  </si>
  <si>
    <t>Kiểm tra thông báo lỗi khi để trống thông tin Payee, Address, Phone</t>
  </si>
  <si>
    <t>Xác nhận số tài khoản</t>
  </si>
  <si>
    <t>Kiểm tra lỗi khi nhập "Account" và "Verify Account" không khớp nhau</t>
  </si>
  <si>
    <t>Định dạng Phone/Zip</t>
  </si>
  <si>
    <t>Kiểm tra tính hợp lệ của số điện thoại và mã vùng người thụ hưởng</t>
  </si>
  <si>
    <t>Phí dịch vụ</t>
  </si>
  <si>
    <t>Kiểm tra hiển thị phí (nếu có) khi thực hiện thanh toán</t>
  </si>
  <si>
    <t>Ghi chú giao dịch</t>
  </si>
  <si>
    <t>Kiểm tra tiền thanh toán được trừ đúng vào tài khoản đã chọn</t>
  </si>
  <si>
    <t>Find Transactions</t>
  </si>
  <si>
    <t>Tìm theo ID</t>
  </si>
  <si>
    <t>Tìm kiếm giao dịch chính xác bằng Transaction ID</t>
  </si>
  <si>
    <t>Tìm theo Ngày</t>
  </si>
  <si>
    <t>Tìm kiếm giao dịch trong một khoảng thời gian cụ thể (Date Range)</t>
  </si>
  <si>
    <t>Tìm theo Số tiền</t>
  </si>
  <si>
    <t>Tìm kiếm các giao dịch có giá trị bằng một số tiền nhất định</t>
  </si>
  <si>
    <t>TR_FND_04</t>
  </si>
  <si>
    <t>Không có kết quả</t>
  </si>
  <si>
    <t>Hiển thị thông báo phù hợp khi không tìm thấy giao dịch nào</t>
  </si>
  <si>
    <t>Update Contact Info</t>
  </si>
  <si>
    <t>Cập nhật thành công</t>
  </si>
  <si>
    <t>Thay đổi địa chỉ hoặc số điện thoại và lưu thành công</t>
  </si>
  <si>
    <t>Kiểm tra dữ liệu trống</t>
  </si>
  <si>
    <t>Thông báo lỗi khi xóa trắng các trường bắt buộc trong profile</t>
  </si>
  <si>
    <t>Lưu trữ dữ liệu</t>
  </si>
  <si>
    <t>Đăng xuất và đăng nhập lại để kiểm tra thông tin mới đã được lưu vào DB</t>
  </si>
  <si>
    <t>TR_UPD_04</t>
  </si>
  <si>
    <t>Thông báo cập nhật</t>
  </si>
  <si>
    <t>Hiển thị thông báo "Profile Updated" sau khi nhấn Submit</t>
  </si>
  <si>
    <t>Request Loan</t>
  </si>
  <si>
    <t>Gửi yêu cầu vay</t>
  </si>
  <si>
    <t>Gửi yêu cầu vay với số tiền và khoản trả trước (Down Payment) hợp lệ</t>
  </si>
  <si>
    <t>Kết quả phê duyệt</t>
  </si>
  <si>
    <t>Kiểm tra trạng thái "Approved" hoặc "Denied" dựa trên logic hệ thống</t>
  </si>
  <si>
    <t>Liên kết tài khoản</t>
  </si>
  <si>
    <t>Kiểm tra tài khoản nhận tiền vay (nếu được duyệt) là tài khoản đã chọn</t>
  </si>
  <si>
    <t>User:khoa_it2026, Pass:Khoa123!</t>
  </si>
  <si>
    <t>User:khoa_it2026, Pass:saimatkhau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</si>
</sst>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70C0"/>
      <name val="Calibri"/>
      <family val="2"/>
      <scheme val="minor"/>
    </font>
    <font>
      <b/>
      <sz val="11"/>
      <color rgb="FF0070C0"/>
      <name val="Times New Roman"/>
      <family val="1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  <font>
      <b/>
      <sz val="11"/>
      <color rgb="FF2F75B5"/>
      <name val="Arial"/>
      <family val="2"/>
    </font>
    <font>
      <sz val="10"/>
      <color theme="1"/>
      <name val="Arial"/>
    </font>
    <font>
      <sz val="10"/>
      <color rgb="FF434343"/>
      <name val="Roboto"/>
    </font>
    <font>
      <sz val="10"/>
      <color theme="1"/>
      <name val="Arial"/>
      <family val="2"/>
    </font>
    <font>
      <sz val="10"/>
      <color rgb="FF2C481F"/>
      <name val="Roboto"/>
    </font>
    <font>
      <sz val="10"/>
      <color rgb="FF2A3243"/>
      <name val="Roboto"/>
    </font>
    <font>
      <sz val="10"/>
      <color rgb="FF133819"/>
      <name val="Roboto"/>
    </font>
    <font>
      <sz val="10"/>
      <color rgb="FF3F4170"/>
      <name val="Roboto"/>
    </font>
    <font>
      <sz val="10"/>
      <color rgb="FF3F4528"/>
      <name val="Roboto"/>
    </font>
    <font>
      <sz val="10"/>
      <color rgb="FF383A3C"/>
      <name val="Roboto"/>
    </font>
    <font>
      <sz val="10"/>
      <color rgb="FF4C535E"/>
      <name val="Roboto"/>
    </font>
    <font>
      <sz val="10"/>
      <color rgb="FF363F32"/>
      <name val="Roboto"/>
    </font>
    <font>
      <sz val="10"/>
      <color rgb="FF131D38"/>
      <name val="Roboto"/>
    </font>
    <font>
      <sz val="10"/>
      <color rgb="FF444D5F"/>
      <name val="Roboto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8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indexed="64"/>
      </top>
      <bottom/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FFFFFF"/>
      </right>
      <top style="medium">
        <color rgb="FF284E3F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  <border>
      <left/>
      <right/>
      <top style="medium">
        <color rgb="FF284E3F"/>
      </top>
      <bottom/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/>
      <bottom style="medium">
        <color rgb="FFF6F8F9"/>
      </bottom>
      <diagonal/>
    </border>
    <border>
      <left/>
      <right/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F6F8F9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F6F8F9"/>
      </top>
      <bottom style="medium">
        <color rgb="FFF6F8F9"/>
      </bottom>
      <diagonal/>
    </border>
    <border>
      <left style="medium">
        <color rgb="FF284E3F"/>
      </left>
      <right style="medium">
        <color rgb="FFCCCCCC"/>
      </right>
      <top style="medium">
        <color rgb="FF284E3F"/>
      </top>
      <bottom/>
      <diagonal/>
    </border>
    <border>
      <left style="medium">
        <color rgb="FF284E3F"/>
      </left>
      <right style="medium">
        <color rgb="FFCCCCCC"/>
      </right>
      <top/>
      <bottom/>
      <diagonal/>
    </border>
    <border>
      <left style="medium">
        <color rgb="FF284E3F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284E3F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284E3F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284E3F"/>
      </left>
      <right style="medium">
        <color rgb="FFCCCCCC"/>
      </right>
      <top/>
      <bottom style="medium">
        <color rgb="FF284E3F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284E3F"/>
      </bottom>
      <diagonal/>
    </border>
    <border>
      <left style="medium">
        <color rgb="FF284E3F"/>
      </left>
      <right style="medium">
        <color rgb="FFCCCCCC"/>
      </right>
      <top style="medium">
        <color rgb="FFF6F8F9"/>
      </top>
      <bottom/>
      <diagonal/>
    </border>
    <border>
      <left style="medium">
        <color rgb="FF284E3F"/>
      </left>
      <right style="medium">
        <color rgb="FFCCCCCC"/>
      </right>
      <top/>
      <bottom style="medium">
        <color rgb="FFF6F8F9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F6F8F9"/>
      </bottom>
      <diagonal/>
    </border>
    <border>
      <left style="medium">
        <color rgb="FFCCCCCC"/>
      </left>
      <right style="medium">
        <color rgb="FFCCCCCC"/>
      </right>
      <top style="medium">
        <color rgb="FFF6F8F9"/>
      </top>
      <bottom/>
      <diagonal/>
    </border>
    <border>
      <left style="medium">
        <color rgb="FF284E3F"/>
      </left>
      <right style="medium">
        <color rgb="FFCCCCCC"/>
      </right>
      <top style="thin">
        <color auto="1"/>
      </top>
      <bottom/>
      <diagonal/>
    </border>
    <border>
      <left style="medium">
        <color rgb="FFCCCCCC"/>
      </left>
      <right style="medium">
        <color rgb="FFCCCCCC"/>
      </right>
      <top style="thin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284E3F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rgb="FF284E3F"/>
      </left>
      <right/>
      <top style="thin">
        <color auto="1"/>
      </top>
      <bottom/>
      <diagonal/>
    </border>
    <border>
      <left style="medium">
        <color rgb="FF284E3F"/>
      </left>
      <right/>
      <top style="medium">
        <color rgb="FF284E3F"/>
      </top>
      <bottom/>
      <diagonal/>
    </border>
    <border>
      <left/>
      <right/>
      <top/>
      <bottom style="medium">
        <color rgb="FF284E3F"/>
      </bottom>
      <diagonal/>
    </border>
    <border>
      <left style="medium">
        <color rgb="FF284E3F"/>
      </left>
      <right/>
      <top/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/>
      <diagonal/>
    </border>
    <border>
      <left style="medium">
        <color rgb="FFCCCCCC"/>
      </left>
      <right style="medium">
        <color rgb="FF284E3F"/>
      </right>
      <top/>
      <bottom/>
      <diagonal/>
    </border>
    <border>
      <left style="medium">
        <color rgb="FFCCCCCC"/>
      </left>
      <right style="medium">
        <color rgb="FF284E3F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284E3F"/>
      </right>
      <top style="thin">
        <color auto="1"/>
      </top>
      <bottom/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thin">
        <color indexed="64"/>
      </bottom>
      <diagonal/>
    </border>
  </borders>
  <cellStyleXfs count="1">
    <xf numFmtId="0" fontId="0" fillId="0" borderId="0"/>
  </cellStyleXfs>
  <cellXfs count="19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5" fillId="2" borderId="8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right" vertical="center" wrapText="1"/>
    </xf>
    <xf numFmtId="0" fontId="5" fillId="2" borderId="17" xfId="0" applyFont="1" applyFill="1" applyBorder="1" applyAlignment="1">
      <alignment horizontal="right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7" fillId="4" borderId="27" xfId="0" applyFont="1" applyFill="1" applyBorder="1" applyAlignment="1">
      <alignment horizontal="center" vertical="center" wrapText="1"/>
    </xf>
    <xf numFmtId="0" fontId="7" fillId="4" borderId="28" xfId="0" applyFont="1" applyFill="1" applyBorder="1" applyAlignment="1">
      <alignment horizontal="center" vertical="center" wrapText="1"/>
    </xf>
    <xf numFmtId="0" fontId="8" fillId="4" borderId="28" xfId="0" applyFont="1" applyFill="1" applyBorder="1" applyAlignment="1">
      <alignment horizontal="center" vertical="center" wrapText="1"/>
    </xf>
    <xf numFmtId="0" fontId="7" fillId="4" borderId="29" xfId="0" applyFont="1" applyFill="1" applyBorder="1" applyAlignment="1">
      <alignment horizontal="center" vertical="center" wrapText="1"/>
    </xf>
    <xf numFmtId="0" fontId="7" fillId="4" borderId="30" xfId="0" applyFont="1" applyFill="1" applyBorder="1" applyAlignment="1">
      <alignment horizontal="center" vertical="center" wrapText="1"/>
    </xf>
    <xf numFmtId="0" fontId="10" fillId="0" borderId="33" xfId="0" applyFont="1" applyBorder="1" applyAlignment="1">
      <alignment wrapText="1"/>
    </xf>
    <xf numFmtId="0" fontId="10" fillId="0" borderId="33" xfId="0" applyFont="1" applyBorder="1" applyAlignment="1">
      <alignment horizontal="right" wrapText="1"/>
    </xf>
    <xf numFmtId="0" fontId="11" fillId="7" borderId="36" xfId="0" applyFont="1" applyFill="1" applyBorder="1" applyAlignment="1">
      <alignment vertical="center" wrapText="1"/>
    </xf>
    <xf numFmtId="0" fontId="11" fillId="7" borderId="36" xfId="0" applyFont="1" applyFill="1" applyBorder="1" applyAlignment="1">
      <alignment horizontal="right" vertical="center" wrapText="1"/>
    </xf>
    <xf numFmtId="0" fontId="11" fillId="7" borderId="37" xfId="0" applyFont="1" applyFill="1" applyBorder="1" applyAlignment="1">
      <alignment vertical="center" wrapText="1"/>
    </xf>
    <xf numFmtId="0" fontId="11" fillId="8" borderId="39" xfId="0" applyFont="1" applyFill="1" applyBorder="1" applyAlignment="1">
      <alignment horizontal="right" vertical="center" wrapText="1"/>
    </xf>
    <xf numFmtId="0" fontId="11" fillId="8" borderId="39" xfId="0" applyFont="1" applyFill="1" applyBorder="1" applyAlignment="1">
      <alignment vertical="center" wrapText="1"/>
    </xf>
    <xf numFmtId="0" fontId="11" fillId="7" borderId="42" xfId="0" applyFont="1" applyFill="1" applyBorder="1" applyAlignment="1">
      <alignment horizontal="right" vertical="center" wrapText="1"/>
    </xf>
    <xf numFmtId="0" fontId="11" fillId="7" borderId="42" xfId="0" applyFont="1" applyFill="1" applyBorder="1" applyAlignment="1">
      <alignment vertical="center" wrapText="1"/>
    </xf>
    <xf numFmtId="0" fontId="11" fillId="8" borderId="38" xfId="0" applyFont="1" applyFill="1" applyBorder="1" applyAlignment="1">
      <alignment horizontal="right" vertical="center" wrapText="1"/>
    </xf>
    <xf numFmtId="0" fontId="11" fillId="8" borderId="40" xfId="0" applyFont="1" applyFill="1" applyBorder="1" applyAlignment="1">
      <alignment vertical="center" wrapText="1"/>
    </xf>
    <xf numFmtId="0" fontId="11" fillId="7" borderId="41" xfId="0" applyFont="1" applyFill="1" applyBorder="1" applyAlignment="1">
      <alignment horizontal="right" vertical="center" wrapText="1"/>
    </xf>
    <xf numFmtId="0" fontId="11" fillId="8" borderId="43" xfId="0" applyFont="1" applyFill="1" applyBorder="1" applyAlignment="1">
      <alignment horizontal="right" vertical="center" wrapText="1"/>
    </xf>
    <xf numFmtId="0" fontId="11" fillId="8" borderId="43" xfId="0" applyFont="1" applyFill="1" applyBorder="1" applyAlignment="1">
      <alignment vertical="center" wrapText="1"/>
    </xf>
    <xf numFmtId="0" fontId="12" fillId="7" borderId="36" xfId="0" applyFont="1" applyFill="1" applyBorder="1" applyAlignment="1">
      <alignment vertical="center" wrapText="1"/>
    </xf>
    <xf numFmtId="0" fontId="12" fillId="8" borderId="39" xfId="0" applyFont="1" applyFill="1" applyBorder="1" applyAlignment="1">
      <alignment vertical="center" wrapText="1"/>
    </xf>
    <xf numFmtId="0" fontId="12" fillId="8" borderId="40" xfId="0" applyFont="1" applyFill="1" applyBorder="1" applyAlignment="1">
      <alignment vertical="center" wrapText="1"/>
    </xf>
    <xf numFmtId="0" fontId="12" fillId="7" borderId="42" xfId="0" applyFont="1" applyFill="1" applyBorder="1" applyAlignment="1">
      <alignment vertical="center" wrapText="1"/>
    </xf>
    <xf numFmtId="0" fontId="12" fillId="7" borderId="40" xfId="0" applyFont="1" applyFill="1" applyBorder="1" applyAlignment="1">
      <alignment vertical="center" wrapText="1"/>
    </xf>
    <xf numFmtId="0" fontId="11" fillId="7" borderId="40" xfId="0" applyFont="1" applyFill="1" applyBorder="1" applyAlignment="1">
      <alignment vertical="center" wrapText="1"/>
    </xf>
    <xf numFmtId="0" fontId="11" fillId="7" borderId="46" xfId="0" applyFont="1" applyFill="1" applyBorder="1" applyAlignment="1">
      <alignment horizontal="right" vertical="center" wrapText="1"/>
    </xf>
    <xf numFmtId="0" fontId="11" fillId="7" borderId="47" xfId="0" applyFont="1" applyFill="1" applyBorder="1" applyAlignment="1">
      <alignment vertical="center" wrapText="1"/>
    </xf>
    <xf numFmtId="0" fontId="11" fillId="7" borderId="47" xfId="0" applyFont="1" applyFill="1" applyBorder="1" applyAlignment="1">
      <alignment horizontal="right" vertical="center" wrapText="1"/>
    </xf>
    <xf numFmtId="0" fontId="12" fillId="7" borderId="44" xfId="0" applyFont="1" applyFill="1" applyBorder="1" applyAlignment="1">
      <alignment vertical="center" wrapText="1"/>
    </xf>
    <xf numFmtId="0" fontId="12" fillId="7" borderId="48" xfId="0" applyFont="1" applyFill="1" applyBorder="1" applyAlignment="1">
      <alignment vertical="center" wrapText="1"/>
    </xf>
    <xf numFmtId="0" fontId="13" fillId="7" borderId="36" xfId="0" applyFont="1" applyFill="1" applyBorder="1" applyAlignment="1">
      <alignment vertical="center" wrapText="1"/>
    </xf>
    <xf numFmtId="0" fontId="13" fillId="8" borderId="39" xfId="0" applyFont="1" applyFill="1" applyBorder="1" applyAlignment="1">
      <alignment vertical="center" wrapText="1"/>
    </xf>
    <xf numFmtId="0" fontId="13" fillId="7" borderId="42" xfId="0" applyFont="1" applyFill="1" applyBorder="1" applyAlignment="1">
      <alignment vertical="center" wrapText="1"/>
    </xf>
    <xf numFmtId="0" fontId="14" fillId="7" borderId="42" xfId="0" applyFont="1" applyFill="1" applyBorder="1" applyAlignment="1">
      <alignment vertical="center" wrapText="1"/>
    </xf>
    <xf numFmtId="0" fontId="13" fillId="7" borderId="47" xfId="0" applyFont="1" applyFill="1" applyBorder="1" applyAlignment="1">
      <alignment vertical="center" wrapText="1"/>
    </xf>
    <xf numFmtId="0" fontId="11" fillId="7" borderId="44" xfId="0" applyFont="1" applyFill="1" applyBorder="1" applyAlignment="1">
      <alignment vertical="center" wrapText="1"/>
    </xf>
    <xf numFmtId="0" fontId="14" fillId="8" borderId="39" xfId="0" applyFont="1" applyFill="1" applyBorder="1" applyAlignment="1">
      <alignment vertical="center" wrapText="1"/>
    </xf>
    <xf numFmtId="0" fontId="15" fillId="8" borderId="39" xfId="0" applyFont="1" applyFill="1" applyBorder="1" applyAlignment="1">
      <alignment vertical="center" wrapText="1"/>
    </xf>
    <xf numFmtId="0" fontId="16" fillId="7" borderId="42" xfId="0" applyFont="1" applyFill="1" applyBorder="1" applyAlignment="1">
      <alignment vertical="center" wrapText="1"/>
    </xf>
    <xf numFmtId="0" fontId="17" fillId="7" borderId="42" xfId="0" applyFont="1" applyFill="1" applyBorder="1" applyAlignment="1">
      <alignment vertical="center" wrapText="1"/>
    </xf>
    <xf numFmtId="0" fontId="12" fillId="8" borderId="44" xfId="0" applyFont="1" applyFill="1" applyBorder="1" applyAlignment="1">
      <alignment vertical="center" wrapText="1"/>
    </xf>
    <xf numFmtId="0" fontId="11" fillId="7" borderId="50" xfId="0" applyFont="1" applyFill="1" applyBorder="1" applyAlignment="1">
      <alignment vertical="center" wrapText="1"/>
    </xf>
    <xf numFmtId="0" fontId="11" fillId="7" borderId="50" xfId="0" applyFont="1" applyFill="1" applyBorder="1" applyAlignment="1">
      <alignment horizontal="right" vertical="center" wrapText="1"/>
    </xf>
    <xf numFmtId="0" fontId="12" fillId="7" borderId="50" xfId="0" applyFont="1" applyFill="1" applyBorder="1" applyAlignment="1">
      <alignment vertical="center" wrapText="1"/>
    </xf>
    <xf numFmtId="0" fontId="11" fillId="7" borderId="51" xfId="0" applyFont="1" applyFill="1" applyBorder="1" applyAlignment="1">
      <alignment vertical="center" wrapText="1"/>
    </xf>
    <xf numFmtId="0" fontId="11" fillId="8" borderId="38" xfId="0" applyFont="1" applyFill="1" applyBorder="1" applyAlignment="1">
      <alignment horizontal="center" vertical="center" wrapText="1"/>
    </xf>
    <xf numFmtId="0" fontId="11" fillId="8" borderId="39" xfId="0" applyFont="1" applyFill="1" applyBorder="1" applyAlignment="1">
      <alignment horizontal="center" vertical="center" wrapText="1"/>
    </xf>
    <xf numFmtId="0" fontId="13" fillId="8" borderId="3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1" fillId="8" borderId="57" xfId="0" applyFont="1" applyFill="1" applyBorder="1" applyAlignment="1">
      <alignment vertical="center" wrapText="1"/>
    </xf>
    <xf numFmtId="0" fontId="11" fillId="7" borderId="78" xfId="0" applyFont="1" applyFill="1" applyBorder="1" applyAlignment="1">
      <alignment horizontal="center" vertical="center" wrapText="1"/>
    </xf>
    <xf numFmtId="0" fontId="11" fillId="7" borderId="79" xfId="0" applyFont="1" applyFill="1" applyBorder="1" applyAlignment="1">
      <alignment horizontal="center" vertical="center" wrapText="1"/>
    </xf>
    <xf numFmtId="0" fontId="11" fillId="7" borderId="80" xfId="0" applyFont="1" applyFill="1" applyBorder="1" applyAlignment="1">
      <alignment horizontal="center" vertical="center" wrapText="1"/>
    </xf>
    <xf numFmtId="0" fontId="11" fillId="7" borderId="81" xfId="0" applyFont="1" applyFill="1" applyBorder="1" applyAlignment="1">
      <alignment horizontal="center" vertical="center" wrapText="1"/>
    </xf>
    <xf numFmtId="0" fontId="11" fillId="7" borderId="67" xfId="0" applyFont="1" applyFill="1" applyBorder="1" applyAlignment="1">
      <alignment horizontal="center" vertical="center" wrapText="1"/>
    </xf>
    <xf numFmtId="0" fontId="11" fillId="7" borderId="57" xfId="0" applyFont="1" applyFill="1" applyBorder="1" applyAlignment="1">
      <alignment horizontal="center" vertical="center" wrapText="1"/>
    </xf>
    <xf numFmtId="0" fontId="0" fillId="0" borderId="7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1" fillId="8" borderId="59" xfId="0" applyFont="1" applyFill="1" applyBorder="1" applyAlignment="1">
      <alignment horizontal="center" vertical="center" wrapText="1"/>
    </xf>
    <xf numFmtId="0" fontId="11" fillId="8" borderId="57" xfId="0" applyFont="1" applyFill="1" applyBorder="1" applyAlignment="1">
      <alignment horizontal="center" vertical="center" wrapText="1"/>
    </xf>
    <xf numFmtId="0" fontId="11" fillId="8" borderId="82" xfId="0" applyFont="1" applyFill="1" applyBorder="1" applyAlignment="1">
      <alignment horizontal="center" vertical="center" wrapText="1"/>
    </xf>
    <xf numFmtId="0" fontId="11" fillId="8" borderId="79" xfId="0" applyFont="1" applyFill="1" applyBorder="1" applyAlignment="1">
      <alignment horizontal="center" vertical="center" wrapText="1"/>
    </xf>
    <xf numFmtId="0" fontId="11" fillId="8" borderId="80" xfId="0" applyFont="1" applyFill="1" applyBorder="1" applyAlignment="1">
      <alignment horizontal="center" vertical="center" wrapText="1"/>
    </xf>
    <xf numFmtId="0" fontId="0" fillId="0" borderId="72" xfId="0" applyBorder="1" applyAlignment="1">
      <alignment horizontal="center"/>
    </xf>
    <xf numFmtId="0" fontId="11" fillId="7" borderId="66" xfId="0" applyFont="1" applyFill="1" applyBorder="1" applyAlignment="1">
      <alignment horizontal="center" vertical="center" wrapText="1"/>
    </xf>
    <xf numFmtId="0" fontId="11" fillId="7" borderId="53" xfId="0" applyFont="1" applyFill="1" applyBorder="1" applyAlignment="1">
      <alignment horizontal="center" vertical="center" wrapText="1"/>
    </xf>
    <xf numFmtId="0" fontId="11" fillId="7" borderId="54" xfId="0" applyFont="1" applyFill="1" applyBorder="1" applyAlignment="1">
      <alignment horizontal="center" vertical="center" wrapText="1"/>
    </xf>
    <xf numFmtId="0" fontId="11" fillId="7" borderId="56" xfId="0" applyFont="1" applyFill="1" applyBorder="1" applyAlignment="1">
      <alignment horizontal="center" vertical="center" wrapText="1"/>
    </xf>
    <xf numFmtId="0" fontId="11" fillId="8" borderId="58" xfId="0" applyFont="1" applyFill="1" applyBorder="1" applyAlignment="1">
      <alignment horizontal="center" vertical="center" wrapText="1"/>
    </xf>
    <xf numFmtId="0" fontId="11" fillId="8" borderId="53" xfId="0" applyFont="1" applyFill="1" applyBorder="1" applyAlignment="1">
      <alignment horizontal="center" vertical="center" wrapText="1"/>
    </xf>
    <xf numFmtId="0" fontId="11" fillId="8" borderId="54" xfId="0" applyFont="1" applyFill="1" applyBorder="1" applyAlignment="1">
      <alignment horizontal="center" vertical="center" wrapText="1"/>
    </xf>
    <xf numFmtId="0" fontId="11" fillId="8" borderId="56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/>
    </xf>
    <xf numFmtId="0" fontId="15" fillId="8" borderId="59" xfId="0" applyFont="1" applyFill="1" applyBorder="1" applyAlignment="1">
      <alignment horizontal="center" vertical="center" wrapText="1"/>
    </xf>
    <xf numFmtId="0" fontId="15" fillId="8" borderId="57" xfId="0" applyFont="1" applyFill="1" applyBorder="1" applyAlignment="1">
      <alignment horizontal="center" vertical="center" wrapText="1"/>
    </xf>
    <xf numFmtId="0" fontId="11" fillId="7" borderId="59" xfId="0" applyFont="1" applyFill="1" applyBorder="1" applyAlignment="1">
      <alignment horizontal="center" vertical="center" wrapText="1"/>
    </xf>
    <xf numFmtId="0" fontId="13" fillId="8" borderId="59" xfId="0" applyFont="1" applyFill="1" applyBorder="1" applyAlignment="1">
      <alignment horizontal="center" vertical="center" wrapText="1"/>
    </xf>
    <xf numFmtId="0" fontId="13" fillId="8" borderId="57" xfId="0" applyFont="1" applyFill="1" applyBorder="1" applyAlignment="1">
      <alignment horizontal="center" vertical="center" wrapText="1"/>
    </xf>
    <xf numFmtId="0" fontId="16" fillId="8" borderId="59" xfId="0" applyFont="1" applyFill="1" applyBorder="1" applyAlignment="1">
      <alignment horizontal="center" vertical="center" wrapText="1"/>
    </xf>
    <xf numFmtId="0" fontId="16" fillId="8" borderId="57" xfId="0" applyFont="1" applyFill="1" applyBorder="1" applyAlignment="1">
      <alignment horizontal="center" vertical="center" wrapText="1"/>
    </xf>
    <xf numFmtId="0" fontId="21" fillId="8" borderId="59" xfId="0" applyFont="1" applyFill="1" applyBorder="1" applyAlignment="1">
      <alignment horizontal="center" vertical="center" wrapText="1"/>
    </xf>
    <xf numFmtId="0" fontId="21" fillId="8" borderId="57" xfId="0" applyFont="1" applyFill="1" applyBorder="1" applyAlignment="1">
      <alignment horizontal="center" vertical="center" wrapText="1"/>
    </xf>
    <xf numFmtId="0" fontId="17" fillId="8" borderId="59" xfId="0" applyFont="1" applyFill="1" applyBorder="1" applyAlignment="1">
      <alignment horizontal="center" vertical="center" wrapText="1"/>
    </xf>
    <xf numFmtId="0" fontId="17" fillId="8" borderId="57" xfId="0" applyFont="1" applyFill="1" applyBorder="1" applyAlignment="1">
      <alignment horizontal="center" vertical="center" wrapText="1"/>
    </xf>
    <xf numFmtId="0" fontId="11" fillId="7" borderId="52" xfId="0" applyFont="1" applyFill="1" applyBorder="1" applyAlignment="1">
      <alignment horizontal="center" vertical="center" wrapText="1"/>
    </xf>
    <xf numFmtId="0" fontId="0" fillId="6" borderId="45" xfId="0" applyFill="1" applyBorder="1" applyAlignment="1">
      <alignment horizontal="center"/>
    </xf>
    <xf numFmtId="0" fontId="11" fillId="7" borderId="58" xfId="0" applyFont="1" applyFill="1" applyBorder="1" applyAlignment="1">
      <alignment horizontal="center" vertical="center" wrapText="1"/>
    </xf>
    <xf numFmtId="0" fontId="13" fillId="7" borderId="55" xfId="0" applyFont="1" applyFill="1" applyBorder="1" applyAlignment="1">
      <alignment horizontal="center" vertical="center" wrapText="1"/>
    </xf>
    <xf numFmtId="0" fontId="13" fillId="7" borderId="57" xfId="0" applyFont="1" applyFill="1" applyBorder="1" applyAlignment="1">
      <alignment horizontal="center" vertical="center" wrapText="1"/>
    </xf>
    <xf numFmtId="0" fontId="11" fillId="7" borderId="55" xfId="0" applyFont="1" applyFill="1" applyBorder="1" applyAlignment="1">
      <alignment horizontal="center" vertical="center" wrapText="1"/>
    </xf>
    <xf numFmtId="0" fontId="18" fillId="7" borderId="55" xfId="0" applyFont="1" applyFill="1" applyBorder="1" applyAlignment="1">
      <alignment horizontal="center" vertical="center" wrapText="1"/>
    </xf>
    <xf numFmtId="0" fontId="18" fillId="7" borderId="57" xfId="0" applyFont="1" applyFill="1" applyBorder="1" applyAlignment="1">
      <alignment horizontal="center" vertical="center" wrapText="1"/>
    </xf>
    <xf numFmtId="0" fontId="11" fillId="8" borderId="55" xfId="0" applyFont="1" applyFill="1" applyBorder="1" applyAlignment="1">
      <alignment horizontal="center" vertical="center" wrapText="1"/>
    </xf>
    <xf numFmtId="0" fontId="13" fillId="8" borderId="55" xfId="0" applyFont="1" applyFill="1" applyBorder="1" applyAlignment="1">
      <alignment horizontal="center" vertical="center" wrapText="1"/>
    </xf>
    <xf numFmtId="0" fontId="0" fillId="6" borderId="49" xfId="0" applyFill="1" applyBorder="1" applyAlignment="1">
      <alignment horizontal="center"/>
    </xf>
    <xf numFmtId="0" fontId="0" fillId="0" borderId="45" xfId="0" applyBorder="1" applyAlignment="1">
      <alignment horizontal="center" vertical="center"/>
    </xf>
    <xf numFmtId="0" fontId="11" fillId="7" borderId="61" xfId="0" applyFont="1" applyFill="1" applyBorder="1" applyAlignment="1">
      <alignment horizontal="center" vertical="center" wrapText="1"/>
    </xf>
    <xf numFmtId="0" fontId="13" fillId="7" borderId="56" xfId="0" applyFont="1" applyFill="1" applyBorder="1" applyAlignment="1">
      <alignment horizontal="center" vertical="center" wrapText="1"/>
    </xf>
    <xf numFmtId="0" fontId="14" fillId="8" borderId="59" xfId="0" applyFont="1" applyFill="1" applyBorder="1" applyAlignment="1">
      <alignment horizontal="center" vertical="center" wrapText="1"/>
    </xf>
    <xf numFmtId="0" fontId="14" fillId="8" borderId="57" xfId="0" applyFont="1" applyFill="1" applyBorder="1" applyAlignment="1">
      <alignment horizontal="center" vertical="center" wrapText="1"/>
    </xf>
    <xf numFmtId="0" fontId="20" fillId="8" borderId="55" xfId="0" applyFont="1" applyFill="1" applyBorder="1" applyAlignment="1">
      <alignment horizontal="center" vertical="center" wrapText="1"/>
    </xf>
    <xf numFmtId="0" fontId="20" fillId="8" borderId="57" xfId="0" applyFont="1" applyFill="1" applyBorder="1" applyAlignment="1">
      <alignment horizontal="center" vertical="center" wrapText="1"/>
    </xf>
    <xf numFmtId="0" fontId="22" fillId="8" borderId="59" xfId="0" applyFont="1" applyFill="1" applyBorder="1" applyAlignment="1">
      <alignment horizontal="center" vertical="center" wrapText="1"/>
    </xf>
    <xf numFmtId="0" fontId="22" fillId="8" borderId="57" xfId="0" applyFont="1" applyFill="1" applyBorder="1" applyAlignment="1">
      <alignment horizontal="center" vertical="center" wrapText="1"/>
    </xf>
    <xf numFmtId="0" fontId="11" fillId="8" borderId="61" xfId="0" applyFont="1" applyFill="1" applyBorder="1" applyAlignment="1">
      <alignment horizontal="center" vertical="center" wrapText="1"/>
    </xf>
    <xf numFmtId="0" fontId="18" fillId="8" borderId="59" xfId="0" applyFont="1" applyFill="1" applyBorder="1" applyAlignment="1">
      <alignment horizontal="center" vertical="center" wrapText="1"/>
    </xf>
    <xf numFmtId="0" fontId="18" fillId="8" borderId="57" xfId="0" applyFont="1" applyFill="1" applyBorder="1" applyAlignment="1">
      <alignment horizontal="center" vertical="center" wrapText="1"/>
    </xf>
    <xf numFmtId="0" fontId="14" fillId="7" borderId="59" xfId="0" applyFont="1" applyFill="1" applyBorder="1" applyAlignment="1">
      <alignment horizontal="center" vertical="center" wrapText="1"/>
    </xf>
    <xf numFmtId="0" fontId="14" fillId="7" borderId="57" xfId="0" applyFont="1" applyFill="1" applyBorder="1" applyAlignment="1">
      <alignment horizontal="center" vertical="center" wrapText="1"/>
    </xf>
    <xf numFmtId="0" fontId="13" fillId="7" borderId="59" xfId="0" applyFont="1" applyFill="1" applyBorder="1" applyAlignment="1">
      <alignment horizontal="center" vertical="center" wrapText="1"/>
    </xf>
    <xf numFmtId="0" fontId="19" fillId="8" borderId="59" xfId="0" applyFont="1" applyFill="1" applyBorder="1" applyAlignment="1">
      <alignment horizontal="center" vertical="center" wrapText="1"/>
    </xf>
    <xf numFmtId="0" fontId="19" fillId="8" borderId="61" xfId="0" applyFont="1" applyFill="1" applyBorder="1" applyAlignment="1">
      <alignment horizontal="center" vertical="center" wrapText="1"/>
    </xf>
    <xf numFmtId="0" fontId="11" fillId="8" borderId="60" xfId="0" applyFont="1" applyFill="1" applyBorder="1" applyAlignment="1">
      <alignment horizontal="center" vertical="center" wrapText="1"/>
    </xf>
    <xf numFmtId="0" fontId="13" fillId="8" borderId="61" xfId="0" applyFont="1" applyFill="1" applyBorder="1" applyAlignment="1">
      <alignment horizontal="center" vertical="center" wrapText="1"/>
    </xf>
    <xf numFmtId="0" fontId="15" fillId="7" borderId="59" xfId="0" applyFont="1" applyFill="1" applyBorder="1" applyAlignment="1">
      <alignment horizontal="center" vertical="center" wrapText="1"/>
    </xf>
    <xf numFmtId="0" fontId="15" fillId="7" borderId="57" xfId="0" applyFont="1" applyFill="1" applyBorder="1" applyAlignment="1">
      <alignment horizontal="center" vertical="center" wrapText="1"/>
    </xf>
    <xf numFmtId="0" fontId="13" fillId="7" borderId="61" xfId="0" applyFont="1" applyFill="1" applyBorder="1" applyAlignment="1">
      <alignment horizontal="center" vertical="center" wrapText="1"/>
    </xf>
    <xf numFmtId="0" fontId="11" fillId="7" borderId="60" xfId="0" applyFont="1" applyFill="1" applyBorder="1" applyAlignment="1">
      <alignment horizontal="center" vertical="center" wrapText="1"/>
    </xf>
    <xf numFmtId="0" fontId="19" fillId="7" borderId="59" xfId="0" applyFont="1" applyFill="1" applyBorder="1" applyAlignment="1">
      <alignment horizontal="center" vertical="center" wrapText="1"/>
    </xf>
    <xf numFmtId="0" fontId="19" fillId="7" borderId="57" xfId="0" applyFont="1" applyFill="1" applyBorder="1" applyAlignment="1">
      <alignment horizontal="center" vertical="center" wrapText="1"/>
    </xf>
    <xf numFmtId="0" fontId="11" fillId="7" borderId="65" xfId="0" applyFont="1" applyFill="1" applyBorder="1" applyAlignment="1">
      <alignment horizontal="center" vertical="center" wrapText="1"/>
    </xf>
    <xf numFmtId="0" fontId="19" fillId="7" borderId="65" xfId="0" applyFont="1" applyFill="1" applyBorder="1" applyAlignment="1">
      <alignment horizontal="center" vertical="center" wrapText="1"/>
    </xf>
    <xf numFmtId="0" fontId="19" fillId="7" borderId="61" xfId="0" applyFont="1" applyFill="1" applyBorder="1" applyAlignment="1">
      <alignment horizontal="center" vertical="center" wrapText="1"/>
    </xf>
    <xf numFmtId="0" fontId="14" fillId="7" borderId="65" xfId="0" applyFont="1" applyFill="1" applyBorder="1" applyAlignment="1">
      <alignment horizontal="center" vertical="center" wrapText="1"/>
    </xf>
    <xf numFmtId="0" fontId="14" fillId="7" borderId="61" xfId="0" applyFont="1" applyFill="1" applyBorder="1" applyAlignment="1">
      <alignment horizontal="center" vertical="center" wrapText="1"/>
    </xf>
    <xf numFmtId="0" fontId="11" fillId="7" borderId="63" xfId="0" applyFont="1" applyFill="1" applyBorder="1" applyAlignment="1">
      <alignment horizontal="center" vertical="center" wrapText="1"/>
    </xf>
    <xf numFmtId="0" fontId="11" fillId="7" borderId="62" xfId="0" applyFont="1" applyFill="1" applyBorder="1" applyAlignment="1">
      <alignment horizontal="center" vertical="center" wrapText="1"/>
    </xf>
    <xf numFmtId="0" fontId="11" fillId="8" borderId="52" xfId="0" applyFont="1" applyFill="1" applyBorder="1" applyAlignment="1">
      <alignment horizontal="center" vertical="center" wrapText="1"/>
    </xf>
    <xf numFmtId="0" fontId="14" fillId="8" borderId="61" xfId="0" applyFont="1" applyFill="1" applyBorder="1" applyAlignment="1">
      <alignment horizontal="center" vertical="center" wrapText="1"/>
    </xf>
    <xf numFmtId="0" fontId="9" fillId="5" borderId="31" xfId="0" applyFont="1" applyFill="1" applyBorder="1" applyAlignment="1">
      <alignment horizontal="center" vertical="center" wrapText="1"/>
    </xf>
    <xf numFmtId="0" fontId="9" fillId="5" borderId="27" xfId="0" applyFont="1" applyFill="1" applyBorder="1" applyAlignment="1">
      <alignment horizontal="center" vertical="center" wrapText="1"/>
    </xf>
    <xf numFmtId="0" fontId="0" fillId="6" borderId="32" xfId="0" applyFill="1" applyBorder="1" applyAlignment="1">
      <alignment horizontal="center"/>
    </xf>
    <xf numFmtId="0" fontId="0" fillId="6" borderId="68" xfId="0" applyFill="1" applyBorder="1" applyAlignment="1">
      <alignment horizontal="center"/>
    </xf>
    <xf numFmtId="0" fontId="0" fillId="0" borderId="73" xfId="0" applyBorder="1" applyAlignment="1">
      <alignment horizontal="center"/>
    </xf>
    <xf numFmtId="0" fontId="0" fillId="6" borderId="69" xfId="0" applyFill="1" applyBorder="1" applyAlignment="1">
      <alignment horizontal="center"/>
    </xf>
    <xf numFmtId="0" fontId="0" fillId="6" borderId="70" xfId="0" applyFill="1" applyBorder="1" applyAlignment="1">
      <alignment horizontal="center"/>
    </xf>
    <xf numFmtId="0" fontId="0" fillId="6" borderId="71" xfId="0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75" xfId="0" applyBorder="1" applyAlignment="1">
      <alignment horizontal="center"/>
    </xf>
    <xf numFmtId="0" fontId="0" fillId="0" borderId="76" xfId="0" applyBorder="1" applyAlignment="1">
      <alignment horizontal="center"/>
    </xf>
    <xf numFmtId="0" fontId="0" fillId="0" borderId="77" xfId="0" applyBorder="1" applyAlignment="1">
      <alignment horizontal="center"/>
    </xf>
    <xf numFmtId="0" fontId="15" fillId="7" borderId="64" xfId="0" applyFont="1" applyFill="1" applyBorder="1" applyAlignment="1">
      <alignment horizontal="center" vertical="center" wrapText="1"/>
    </xf>
    <xf numFmtId="0" fontId="11" fillId="7" borderId="64" xfId="0" applyFont="1" applyFill="1" applyBorder="1" applyAlignment="1">
      <alignment horizontal="center" vertical="center" wrapText="1"/>
    </xf>
    <xf numFmtId="0" fontId="20" fillId="7" borderId="59" xfId="0" applyFont="1" applyFill="1" applyBorder="1" applyAlignment="1">
      <alignment horizontal="center" vertical="center" wrapText="1"/>
    </xf>
    <xf numFmtId="0" fontId="20" fillId="7" borderId="64" xfId="0" applyFont="1" applyFill="1" applyBorder="1" applyAlignment="1">
      <alignment horizontal="center" vertical="center" wrapText="1"/>
    </xf>
    <xf numFmtId="0" fontId="11" fillId="8" borderId="83" xfId="0" applyFont="1" applyFill="1" applyBorder="1" applyAlignment="1">
      <alignment horizontal="center" vertical="center" wrapText="1"/>
    </xf>
    <xf numFmtId="0" fontId="0" fillId="0" borderId="74" xfId="0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right" vertical="center" wrapText="1"/>
    </xf>
    <xf numFmtId="0" fontId="5" fillId="2" borderId="5" xfId="0" applyFont="1" applyFill="1" applyBorder="1" applyAlignment="1">
      <alignment horizontal="right" vertical="center" wrapText="1"/>
    </xf>
    <xf numFmtId="0" fontId="6" fillId="0" borderId="6" xfId="0" applyFont="1" applyBorder="1" applyAlignment="1">
      <alignment horizontal="left" vertical="center" wrapText="1" indent="1"/>
    </xf>
    <xf numFmtId="0" fontId="6" fillId="0" borderId="5" xfId="0" applyFont="1" applyBorder="1" applyAlignment="1">
      <alignment horizontal="left" vertical="center" wrapText="1" indent="1"/>
    </xf>
    <xf numFmtId="0" fontId="6" fillId="0" borderId="7" xfId="0" applyFont="1" applyBorder="1" applyAlignment="1">
      <alignment horizontal="left" vertical="center" wrapText="1" indent="1"/>
    </xf>
    <xf numFmtId="0" fontId="6" fillId="0" borderId="9" xfId="0" applyFont="1" applyBorder="1" applyAlignment="1">
      <alignment horizontal="left" vertical="center" wrapText="1" indent="1"/>
    </xf>
    <xf numFmtId="0" fontId="5" fillId="2" borderId="10" xfId="0" applyFont="1" applyFill="1" applyBorder="1" applyAlignment="1">
      <alignment horizontal="right" vertical="center" wrapText="1"/>
    </xf>
    <xf numFmtId="0" fontId="5" fillId="2" borderId="11" xfId="0" applyFont="1" applyFill="1" applyBorder="1" applyAlignment="1">
      <alignment horizontal="right" vertical="center" wrapText="1"/>
    </xf>
    <xf numFmtId="0" fontId="6" fillId="0" borderId="2" xfId="0" applyFont="1" applyBorder="1" applyAlignment="1">
      <alignment horizontal="left" vertical="center" wrapText="1" indent="1"/>
    </xf>
    <xf numFmtId="0" fontId="6" fillId="0" borderId="11" xfId="0" applyFont="1" applyBorder="1" applyAlignment="1">
      <alignment horizontal="left" vertical="center" wrapText="1" indent="1"/>
    </xf>
    <xf numFmtId="0" fontId="6" fillId="0" borderId="3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5" fillId="2" borderId="13" xfId="0" applyFont="1" applyFill="1" applyBorder="1" applyAlignment="1">
      <alignment horizontal="right" vertical="center" wrapText="1"/>
    </xf>
    <xf numFmtId="0" fontId="5" fillId="2" borderId="14" xfId="0" applyFont="1" applyFill="1" applyBorder="1" applyAlignment="1">
      <alignment horizontal="right" vertical="center" wrapText="1"/>
    </xf>
    <xf numFmtId="164" fontId="6" fillId="0" borderId="15" xfId="0" quotePrefix="1" applyNumberFormat="1" applyFont="1" applyBorder="1" applyAlignment="1">
      <alignment horizontal="left" vertical="center" wrapText="1" indent="1"/>
    </xf>
    <xf numFmtId="164" fontId="6" fillId="0" borderId="14" xfId="0" applyNumberFormat="1" applyFont="1" applyBorder="1" applyAlignment="1">
      <alignment horizontal="left" vertical="center" wrapText="1" indent="1"/>
    </xf>
    <xf numFmtId="164" fontId="6" fillId="0" borderId="16" xfId="0" applyNumberFormat="1" applyFont="1" applyBorder="1" applyAlignment="1">
      <alignment horizontal="left" vertical="center" wrapText="1" indent="1"/>
    </xf>
    <xf numFmtId="164" fontId="6" fillId="0" borderId="15" xfId="0" applyNumberFormat="1" applyFont="1" applyBorder="1" applyAlignment="1">
      <alignment horizontal="left" vertical="center" wrapText="1" indent="1"/>
    </xf>
    <xf numFmtId="164" fontId="6" fillId="0" borderId="18" xfId="0" applyNumberFormat="1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left" vertical="center"/>
    </xf>
    <xf numFmtId="0" fontId="5" fillId="3" borderId="24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horizontal="center" vertical="center" wrapText="1"/>
    </xf>
    <xf numFmtId="0" fontId="10" fillId="6" borderId="35" xfId="0" applyFont="1" applyFill="1" applyBorder="1" applyAlignment="1">
      <alignment horizontal="center" wrapText="1"/>
    </xf>
    <xf numFmtId="0" fontId="10" fillId="6" borderId="0" xfId="0" applyFont="1" applyFill="1" applyAlignment="1">
      <alignment horizontal="center" wrapText="1"/>
    </xf>
    <xf numFmtId="0" fontId="10" fillId="6" borderId="34" xfId="0" applyFont="1" applyFill="1" applyBorder="1" applyAlignment="1">
      <alignment horizontal="center" wrapText="1"/>
    </xf>
    <xf numFmtId="0" fontId="10" fillId="6" borderId="3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6C376-7167-496E-9BD9-A579448B4AA5}">
  <dimension ref="B2:C6"/>
  <sheetViews>
    <sheetView workbookViewId="0">
      <selection activeCell="C5" sqref="C5"/>
    </sheetView>
  </sheetViews>
  <sheetFormatPr defaultRowHeight="14.4" x14ac:dyDescent="0.3"/>
  <cols>
    <col min="2" max="2" width="46.33203125" bestFit="1" customWidth="1"/>
  </cols>
  <sheetData>
    <row r="2" spans="2:3" x14ac:dyDescent="0.3">
      <c r="B2" s="6" t="s">
        <v>0</v>
      </c>
      <c r="C2" t="s">
        <v>1</v>
      </c>
    </row>
    <row r="3" spans="2:3" x14ac:dyDescent="0.3">
      <c r="B3" s="6" t="s">
        <v>2</v>
      </c>
      <c r="C3" t="s">
        <v>1</v>
      </c>
    </row>
    <row r="4" spans="2:3" x14ac:dyDescent="0.3">
      <c r="B4" s="6" t="s">
        <v>3</v>
      </c>
      <c r="C4" t="s">
        <v>1</v>
      </c>
    </row>
    <row r="5" spans="2:3" x14ac:dyDescent="0.3">
      <c r="B5" s="6" t="s">
        <v>4</v>
      </c>
      <c r="C5" t="s">
        <v>1</v>
      </c>
    </row>
    <row r="6" spans="2:3" x14ac:dyDescent="0.3">
      <c r="B6" s="4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D2199-4443-4EB8-91CE-D5359D3AE841}">
  <dimension ref="A1:N256"/>
  <sheetViews>
    <sheetView tabSelected="1" topLeftCell="A39" zoomScale="85" zoomScaleNormal="85" workbookViewId="0">
      <selection activeCell="H45" sqref="H45:H46"/>
    </sheetView>
  </sheetViews>
  <sheetFormatPr defaultRowHeight="14.4" x14ac:dyDescent="0.3"/>
  <cols>
    <col min="2" max="2" width="13.44140625" customWidth="1"/>
    <col min="3" max="3" width="14.5546875" customWidth="1"/>
    <col min="4" max="4" width="17.5546875" customWidth="1"/>
    <col min="5" max="5" width="14.33203125" customWidth="1"/>
    <col min="6" max="6" width="6.33203125" customWidth="1"/>
    <col min="7" max="7" width="29.6640625" customWidth="1"/>
    <col min="8" max="8" width="27.33203125" customWidth="1"/>
    <col min="9" max="9" width="26.88671875" customWidth="1"/>
    <col min="10" max="10" width="19.6640625" customWidth="1"/>
    <col min="11" max="11" width="15.6640625" customWidth="1"/>
    <col min="12" max="12" width="15" customWidth="1"/>
    <col min="13" max="13" width="10.21875" customWidth="1"/>
    <col min="14" max="14" width="8.88671875" style="62" customWidth="1"/>
  </cols>
  <sheetData>
    <row r="1" spans="1:14" ht="43.2" x14ac:dyDescent="0.3">
      <c r="A1" s="1"/>
      <c r="B1" s="1"/>
      <c r="C1" s="3" t="s">
        <v>6</v>
      </c>
      <c r="D1" s="1"/>
      <c r="F1" s="1"/>
      <c r="G1" s="1"/>
      <c r="H1" s="1" t="s">
        <v>7</v>
      </c>
      <c r="I1" s="2" t="s">
        <v>8</v>
      </c>
      <c r="J1" s="1"/>
      <c r="K1" s="1" t="s">
        <v>9</v>
      </c>
      <c r="L1" s="1"/>
      <c r="M1" s="1"/>
    </row>
    <row r="2" spans="1:14" ht="28.8" x14ac:dyDescent="0.3">
      <c r="A2" s="1"/>
      <c r="B2" s="1"/>
      <c r="C2" s="3" t="s">
        <v>10</v>
      </c>
      <c r="D2" s="1"/>
      <c r="F2" s="1"/>
      <c r="G2" s="1"/>
      <c r="H2" s="2" t="s">
        <v>11</v>
      </c>
      <c r="L2" s="1"/>
      <c r="M2" s="1"/>
    </row>
    <row r="3" spans="1:14" x14ac:dyDescent="0.3">
      <c r="A3" s="5" t="s">
        <v>0</v>
      </c>
      <c r="B3" s="1"/>
      <c r="C3" s="3" t="str">
        <f>'Dự Án '!C2</f>
        <v>?</v>
      </c>
      <c r="D3" s="5" t="s">
        <v>12</v>
      </c>
      <c r="E3">
        <f>COUNT(A9:A256)</f>
        <v>120</v>
      </c>
      <c r="F3" s="1"/>
      <c r="G3" s="1"/>
      <c r="I3" s="1"/>
      <c r="J3" s="1"/>
      <c r="K3" s="1"/>
      <c r="L3" s="1"/>
      <c r="M3" s="1"/>
    </row>
    <row r="4" spans="1:14" x14ac:dyDescent="0.3">
      <c r="A4" s="5" t="s">
        <v>13</v>
      </c>
      <c r="B4" s="1"/>
      <c r="C4" s="3" t="s">
        <v>1</v>
      </c>
      <c r="D4" s="5" t="s">
        <v>14</v>
      </c>
      <c r="E4" t="s">
        <v>1</v>
      </c>
      <c r="F4" s="1"/>
      <c r="G4" s="1"/>
      <c r="I4" s="1"/>
      <c r="J4" s="1"/>
      <c r="K4" s="1"/>
      <c r="L4" s="1"/>
      <c r="M4" s="1"/>
    </row>
    <row r="5" spans="1:14" x14ac:dyDescent="0.3">
      <c r="A5" s="1"/>
      <c r="B5" s="1"/>
      <c r="C5" s="3"/>
      <c r="D5" s="5" t="s">
        <v>15</v>
      </c>
      <c r="E5" t="s">
        <v>1</v>
      </c>
      <c r="L5" s="1"/>
      <c r="M5" s="1"/>
    </row>
    <row r="6" spans="1:14" ht="41.4" x14ac:dyDescent="0.3">
      <c r="A6" s="14" t="s">
        <v>16</v>
      </c>
      <c r="B6" s="14" t="s">
        <v>17</v>
      </c>
      <c r="C6" s="15" t="s">
        <v>18</v>
      </c>
      <c r="D6" s="15" t="s">
        <v>19</v>
      </c>
      <c r="E6" s="15" t="s">
        <v>20</v>
      </c>
      <c r="F6" s="16" t="s">
        <v>21</v>
      </c>
      <c r="G6" s="15" t="s">
        <v>22</v>
      </c>
      <c r="H6" s="15" t="s">
        <v>23</v>
      </c>
      <c r="I6" s="15" t="s">
        <v>24</v>
      </c>
      <c r="J6" s="17" t="s">
        <v>25</v>
      </c>
      <c r="K6" s="18" t="s">
        <v>26</v>
      </c>
      <c r="L6" s="18" t="s">
        <v>27</v>
      </c>
      <c r="M6" s="18" t="s">
        <v>28</v>
      </c>
      <c r="N6" s="18" t="s">
        <v>29</v>
      </c>
    </row>
    <row r="7" spans="1:14" x14ac:dyDescent="0.3">
      <c r="A7" s="144" t="s">
        <v>30</v>
      </c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5"/>
    </row>
    <row r="8" spans="1:14" x14ac:dyDescent="0.3">
      <c r="A8" s="146" t="s">
        <v>31</v>
      </c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</row>
    <row r="9" spans="1:14" ht="40.200000000000003" customHeight="1" x14ac:dyDescent="0.3">
      <c r="A9" s="99">
        <v>1</v>
      </c>
      <c r="B9" s="104" t="s">
        <v>32</v>
      </c>
      <c r="C9" s="104" t="s">
        <v>33</v>
      </c>
      <c r="D9" s="104" t="s">
        <v>34</v>
      </c>
      <c r="E9" s="104" t="s">
        <v>35</v>
      </c>
      <c r="F9" s="22">
        <v>1</v>
      </c>
      <c r="G9" s="21" t="s">
        <v>36</v>
      </c>
      <c r="H9" s="21"/>
      <c r="I9" s="33"/>
      <c r="J9" s="64" t="s">
        <v>37</v>
      </c>
      <c r="K9" s="78" t="s">
        <v>38</v>
      </c>
      <c r="L9" s="72" t="s">
        <v>39</v>
      </c>
      <c r="M9" s="72"/>
      <c r="N9" s="71" t="s">
        <v>40</v>
      </c>
    </row>
    <row r="10" spans="1:14" ht="92.4" x14ac:dyDescent="0.3">
      <c r="A10" s="80"/>
      <c r="B10" s="82"/>
      <c r="C10" s="82"/>
      <c r="D10" s="82"/>
      <c r="E10" s="82"/>
      <c r="F10" s="24">
        <v>2</v>
      </c>
      <c r="G10" s="25" t="s">
        <v>41</v>
      </c>
      <c r="H10" s="25" t="s">
        <v>42</v>
      </c>
      <c r="I10" s="34"/>
      <c r="J10" s="65"/>
      <c r="K10" s="78"/>
      <c r="L10" s="72"/>
      <c r="M10" s="72"/>
      <c r="N10" s="71"/>
    </row>
    <row r="11" spans="1:14" ht="26.4" x14ac:dyDescent="0.3">
      <c r="A11" s="81"/>
      <c r="B11" s="69"/>
      <c r="C11" s="69"/>
      <c r="D11" s="69"/>
      <c r="E11" s="69"/>
      <c r="F11" s="26">
        <v>3</v>
      </c>
      <c r="G11" s="27" t="s">
        <v>43</v>
      </c>
      <c r="H11" s="27"/>
      <c r="I11" s="27" t="s">
        <v>44</v>
      </c>
      <c r="J11" s="66"/>
      <c r="K11" s="78"/>
      <c r="L11" s="72"/>
      <c r="M11" s="72"/>
      <c r="N11" s="71"/>
    </row>
    <row r="12" spans="1:14" ht="27" customHeight="1" x14ac:dyDescent="0.3">
      <c r="A12" s="83">
        <v>2</v>
      </c>
      <c r="B12" s="73" t="s">
        <v>45</v>
      </c>
      <c r="C12" s="73" t="s">
        <v>46</v>
      </c>
      <c r="D12" s="73" t="s">
        <v>47</v>
      </c>
      <c r="E12" s="73" t="s">
        <v>48</v>
      </c>
      <c r="F12" s="24">
        <v>1</v>
      </c>
      <c r="G12" s="25" t="s">
        <v>49</v>
      </c>
      <c r="H12" s="25"/>
      <c r="I12" s="34"/>
      <c r="J12" s="29"/>
      <c r="K12" s="78"/>
      <c r="L12" s="72"/>
      <c r="M12" s="72"/>
      <c r="N12" s="71"/>
    </row>
    <row r="13" spans="1:14" ht="92.4" x14ac:dyDescent="0.3">
      <c r="A13" s="84"/>
      <c r="B13" s="86"/>
      <c r="C13" s="86"/>
      <c r="D13" s="86"/>
      <c r="E13" s="86"/>
      <c r="F13" s="26">
        <v>2</v>
      </c>
      <c r="G13" s="27" t="s">
        <v>50</v>
      </c>
      <c r="H13" s="27" t="s">
        <v>42</v>
      </c>
      <c r="I13" s="36"/>
      <c r="J13" s="37"/>
      <c r="K13" s="78"/>
      <c r="L13" s="72"/>
      <c r="M13" s="72"/>
      <c r="N13" s="71"/>
    </row>
    <row r="14" spans="1:14" ht="26.4" x14ac:dyDescent="0.3">
      <c r="A14" s="85"/>
      <c r="B14" s="74"/>
      <c r="C14" s="74"/>
      <c r="D14" s="74"/>
      <c r="E14" s="74"/>
      <c r="F14" s="24">
        <v>3</v>
      </c>
      <c r="G14" s="25" t="s">
        <v>43</v>
      </c>
      <c r="H14" s="25"/>
      <c r="I14" s="25" t="s">
        <v>51</v>
      </c>
      <c r="J14" s="35"/>
      <c r="K14" s="78"/>
      <c r="L14" s="72"/>
      <c r="M14" s="72"/>
      <c r="N14" s="71"/>
    </row>
    <row r="15" spans="1:14" ht="27" customHeight="1" x14ac:dyDescent="0.3">
      <c r="A15" s="101">
        <v>3</v>
      </c>
      <c r="B15" s="90" t="s">
        <v>52</v>
      </c>
      <c r="C15" s="90" t="s">
        <v>53</v>
      </c>
      <c r="D15" s="90" t="s">
        <v>54</v>
      </c>
      <c r="E15" s="90" t="s">
        <v>55</v>
      </c>
      <c r="F15" s="26">
        <v>1</v>
      </c>
      <c r="G15" s="27" t="s">
        <v>56</v>
      </c>
      <c r="H15" s="27" t="s">
        <v>57</v>
      </c>
      <c r="I15" s="36"/>
      <c r="J15" s="37"/>
      <c r="K15" s="78"/>
      <c r="L15" s="72"/>
      <c r="M15" s="72"/>
      <c r="N15" s="71"/>
    </row>
    <row r="16" spans="1:14" ht="79.2" x14ac:dyDescent="0.3">
      <c r="A16" s="80"/>
      <c r="B16" s="82"/>
      <c r="C16" s="82"/>
      <c r="D16" s="82"/>
      <c r="E16" s="82"/>
      <c r="F16" s="24">
        <v>2</v>
      </c>
      <c r="G16" s="25" t="s">
        <v>58</v>
      </c>
      <c r="H16" s="25" t="s">
        <v>59</v>
      </c>
      <c r="I16" s="34"/>
      <c r="J16" s="35"/>
      <c r="K16" s="78"/>
      <c r="L16" s="72"/>
      <c r="M16" s="72"/>
      <c r="N16" s="71"/>
    </row>
    <row r="17" spans="1:14" ht="26.4" x14ac:dyDescent="0.3">
      <c r="A17" s="81"/>
      <c r="B17" s="69"/>
      <c r="C17" s="69"/>
      <c r="D17" s="69"/>
      <c r="E17" s="69"/>
      <c r="F17" s="26">
        <v>3</v>
      </c>
      <c r="G17" s="27" t="s">
        <v>60</v>
      </c>
      <c r="H17" s="27"/>
      <c r="I17" s="27" t="s">
        <v>61</v>
      </c>
      <c r="J17" s="37"/>
      <c r="K17" s="78"/>
      <c r="L17" s="72"/>
      <c r="M17" s="72"/>
      <c r="N17" s="71"/>
    </row>
    <row r="18" spans="1:14" ht="92.4" x14ac:dyDescent="0.3">
      <c r="A18" s="83">
        <v>4</v>
      </c>
      <c r="B18" s="73" t="s">
        <v>62</v>
      </c>
      <c r="C18" s="73" t="s">
        <v>63</v>
      </c>
      <c r="D18" s="73" t="s">
        <v>64</v>
      </c>
      <c r="E18" s="73" t="s">
        <v>55</v>
      </c>
      <c r="F18" s="24">
        <v>1</v>
      </c>
      <c r="G18" s="25" t="s">
        <v>65</v>
      </c>
      <c r="H18" s="25" t="s">
        <v>66</v>
      </c>
      <c r="I18" s="34"/>
      <c r="J18" s="35"/>
      <c r="K18" s="78"/>
      <c r="L18" s="72"/>
      <c r="M18" s="72"/>
      <c r="N18" s="71"/>
    </row>
    <row r="19" spans="1:14" ht="26.4" x14ac:dyDescent="0.3">
      <c r="A19" s="85"/>
      <c r="B19" s="74"/>
      <c r="C19" s="74"/>
      <c r="D19" s="74"/>
      <c r="E19" s="74"/>
      <c r="F19" s="26">
        <v>2</v>
      </c>
      <c r="G19" s="27" t="s">
        <v>60</v>
      </c>
      <c r="H19" s="27"/>
      <c r="I19" s="27" t="s">
        <v>67</v>
      </c>
      <c r="J19" s="37"/>
      <c r="K19" s="78"/>
      <c r="L19" s="72"/>
      <c r="M19" s="72"/>
      <c r="N19" s="71"/>
    </row>
    <row r="20" spans="1:14" ht="92.4" x14ac:dyDescent="0.3">
      <c r="A20" s="83">
        <v>5</v>
      </c>
      <c r="B20" s="73" t="s">
        <v>62</v>
      </c>
      <c r="C20" s="73" t="s">
        <v>68</v>
      </c>
      <c r="D20" s="73" t="s">
        <v>69</v>
      </c>
      <c r="E20" s="73" t="s">
        <v>55</v>
      </c>
      <c r="F20" s="24">
        <v>1</v>
      </c>
      <c r="G20" s="25" t="s">
        <v>70</v>
      </c>
      <c r="H20" s="25" t="s">
        <v>71</v>
      </c>
      <c r="I20" s="34"/>
      <c r="J20" s="35"/>
      <c r="K20" s="78"/>
      <c r="L20" s="72"/>
      <c r="M20" s="72"/>
      <c r="N20" s="71"/>
    </row>
    <row r="21" spans="1:14" ht="26.4" x14ac:dyDescent="0.3">
      <c r="A21" s="85"/>
      <c r="B21" s="74"/>
      <c r="C21" s="74"/>
      <c r="D21" s="74"/>
      <c r="E21" s="74"/>
      <c r="F21" s="26">
        <v>2</v>
      </c>
      <c r="G21" s="27" t="s">
        <v>60</v>
      </c>
      <c r="H21" s="27"/>
      <c r="I21" s="27" t="s">
        <v>72</v>
      </c>
      <c r="J21" s="37"/>
      <c r="K21" s="78"/>
      <c r="L21" s="72"/>
      <c r="M21" s="72"/>
      <c r="N21" s="71"/>
    </row>
    <row r="22" spans="1:14" ht="92.4" x14ac:dyDescent="0.3">
      <c r="A22" s="83">
        <v>6</v>
      </c>
      <c r="B22" s="73" t="s">
        <v>73</v>
      </c>
      <c r="C22" s="73" t="s">
        <v>74</v>
      </c>
      <c r="D22" s="73" t="s">
        <v>75</v>
      </c>
      <c r="E22" s="73" t="s">
        <v>55</v>
      </c>
      <c r="F22" s="24">
        <v>1</v>
      </c>
      <c r="G22" s="25" t="s">
        <v>76</v>
      </c>
      <c r="H22" s="25" t="s">
        <v>77</v>
      </c>
      <c r="I22" s="34"/>
      <c r="J22" s="35"/>
      <c r="K22" s="78"/>
      <c r="L22" s="72"/>
      <c r="M22" s="72"/>
      <c r="N22" s="71"/>
    </row>
    <row r="23" spans="1:14" ht="26.4" x14ac:dyDescent="0.3">
      <c r="A23" s="85"/>
      <c r="B23" s="74"/>
      <c r="C23" s="74"/>
      <c r="D23" s="74"/>
      <c r="E23" s="74"/>
      <c r="F23" s="26">
        <v>2</v>
      </c>
      <c r="G23" s="27" t="s">
        <v>60</v>
      </c>
      <c r="H23" s="27"/>
      <c r="I23" s="27" t="s">
        <v>78</v>
      </c>
      <c r="J23" s="37"/>
      <c r="K23" s="78"/>
      <c r="L23" s="72"/>
      <c r="M23" s="72"/>
      <c r="N23" s="71"/>
    </row>
    <row r="24" spans="1:14" ht="92.4" x14ac:dyDescent="0.3">
      <c r="A24" s="83">
        <v>7</v>
      </c>
      <c r="B24" s="73" t="s">
        <v>73</v>
      </c>
      <c r="C24" s="73" t="s">
        <v>79</v>
      </c>
      <c r="D24" s="73" t="s">
        <v>80</v>
      </c>
      <c r="E24" s="73" t="s">
        <v>55</v>
      </c>
      <c r="F24" s="24">
        <v>1</v>
      </c>
      <c r="G24" s="25" t="s">
        <v>81</v>
      </c>
      <c r="H24" s="25" t="s">
        <v>82</v>
      </c>
      <c r="I24" s="34"/>
      <c r="J24" s="35"/>
      <c r="K24" s="78"/>
      <c r="L24" s="72"/>
      <c r="M24" s="72"/>
      <c r="N24" s="71"/>
    </row>
    <row r="25" spans="1:14" ht="26.4" x14ac:dyDescent="0.3">
      <c r="A25" s="85"/>
      <c r="B25" s="74"/>
      <c r="C25" s="74"/>
      <c r="D25" s="74"/>
      <c r="E25" s="74"/>
      <c r="F25" s="26">
        <v>2</v>
      </c>
      <c r="G25" s="27" t="s">
        <v>60</v>
      </c>
      <c r="H25" s="27"/>
      <c r="I25" s="27" t="s">
        <v>83</v>
      </c>
      <c r="J25" s="37"/>
      <c r="K25" s="78"/>
      <c r="L25" s="72"/>
      <c r="M25" s="72"/>
      <c r="N25" s="71"/>
    </row>
    <row r="26" spans="1:14" ht="92.4" x14ac:dyDescent="0.3">
      <c r="A26" s="83">
        <v>8</v>
      </c>
      <c r="B26" s="73" t="s">
        <v>62</v>
      </c>
      <c r="C26" s="73" t="s">
        <v>84</v>
      </c>
      <c r="D26" s="73" t="s">
        <v>85</v>
      </c>
      <c r="E26" s="73" t="s">
        <v>55</v>
      </c>
      <c r="F26" s="24">
        <v>1</v>
      </c>
      <c r="G26" s="25" t="s">
        <v>86</v>
      </c>
      <c r="H26" s="25" t="s">
        <v>87</v>
      </c>
      <c r="I26" s="34"/>
      <c r="J26" s="35"/>
      <c r="K26" s="78"/>
      <c r="L26" s="72"/>
      <c r="M26" s="72"/>
      <c r="N26" s="71"/>
    </row>
    <row r="27" spans="1:14" ht="26.4" x14ac:dyDescent="0.3">
      <c r="A27" s="85"/>
      <c r="B27" s="74"/>
      <c r="C27" s="74"/>
      <c r="D27" s="74"/>
      <c r="E27" s="74"/>
      <c r="F27" s="26">
        <v>2</v>
      </c>
      <c r="G27" s="27" t="s">
        <v>60</v>
      </c>
      <c r="H27" s="27"/>
      <c r="I27" s="27" t="s">
        <v>88</v>
      </c>
      <c r="J27" s="37"/>
      <c r="K27" s="78"/>
      <c r="L27" s="72"/>
      <c r="M27" s="72"/>
      <c r="N27" s="71"/>
    </row>
    <row r="28" spans="1:14" ht="92.4" x14ac:dyDescent="0.3">
      <c r="A28" s="83">
        <v>9</v>
      </c>
      <c r="B28" s="73" t="s">
        <v>62</v>
      </c>
      <c r="C28" s="73" t="s">
        <v>89</v>
      </c>
      <c r="D28" s="73" t="s">
        <v>90</v>
      </c>
      <c r="E28" s="73" t="s">
        <v>55</v>
      </c>
      <c r="F28" s="24">
        <v>1</v>
      </c>
      <c r="G28" s="25" t="s">
        <v>91</v>
      </c>
      <c r="H28" s="25" t="s">
        <v>92</v>
      </c>
      <c r="I28" s="34"/>
      <c r="J28" s="35"/>
      <c r="K28" s="78"/>
      <c r="L28" s="72"/>
      <c r="M28" s="72"/>
      <c r="N28" s="71"/>
    </row>
    <row r="29" spans="1:14" ht="26.4" x14ac:dyDescent="0.3">
      <c r="A29" s="85"/>
      <c r="B29" s="74"/>
      <c r="C29" s="74"/>
      <c r="D29" s="74"/>
      <c r="E29" s="74"/>
      <c r="F29" s="26">
        <v>2</v>
      </c>
      <c r="G29" s="27" t="s">
        <v>60</v>
      </c>
      <c r="H29" s="27"/>
      <c r="I29" s="27" t="s">
        <v>93</v>
      </c>
      <c r="J29" s="37"/>
      <c r="K29" s="78"/>
      <c r="L29" s="72"/>
      <c r="M29" s="72"/>
      <c r="N29" s="71"/>
    </row>
    <row r="30" spans="1:14" ht="92.4" x14ac:dyDescent="0.3">
      <c r="A30" s="83">
        <v>10</v>
      </c>
      <c r="B30" s="73" t="s">
        <v>62</v>
      </c>
      <c r="C30" s="73" t="s">
        <v>94</v>
      </c>
      <c r="D30" s="73" t="s">
        <v>95</v>
      </c>
      <c r="E30" s="73" t="s">
        <v>55</v>
      </c>
      <c r="F30" s="24">
        <v>1</v>
      </c>
      <c r="G30" s="25" t="s">
        <v>96</v>
      </c>
      <c r="H30" s="25" t="s">
        <v>97</v>
      </c>
      <c r="I30" s="34"/>
      <c r="J30" s="35"/>
      <c r="K30" s="78"/>
      <c r="L30" s="72"/>
      <c r="M30" s="72"/>
      <c r="N30" s="71"/>
    </row>
    <row r="31" spans="1:14" ht="26.4" x14ac:dyDescent="0.3">
      <c r="A31" s="85"/>
      <c r="B31" s="74"/>
      <c r="C31" s="74"/>
      <c r="D31" s="74"/>
      <c r="E31" s="74"/>
      <c r="F31" s="26">
        <v>2</v>
      </c>
      <c r="G31" s="27" t="s">
        <v>60</v>
      </c>
      <c r="H31" s="27"/>
      <c r="I31" s="27" t="s">
        <v>98</v>
      </c>
      <c r="J31" s="37"/>
      <c r="K31" s="78"/>
      <c r="L31" s="72"/>
      <c r="M31" s="72"/>
      <c r="N31" s="71"/>
    </row>
    <row r="32" spans="1:14" ht="26.4" x14ac:dyDescent="0.3">
      <c r="A32" s="83">
        <v>11</v>
      </c>
      <c r="B32" s="73" t="s">
        <v>32</v>
      </c>
      <c r="C32" s="73" t="s">
        <v>99</v>
      </c>
      <c r="D32" s="73" t="s">
        <v>100</v>
      </c>
      <c r="E32" s="73" t="s">
        <v>55</v>
      </c>
      <c r="F32" s="24">
        <v>1</v>
      </c>
      <c r="G32" s="25" t="s">
        <v>101</v>
      </c>
      <c r="H32" s="25"/>
      <c r="I32" s="34"/>
      <c r="J32" s="29"/>
      <c r="K32" s="78"/>
      <c r="L32" s="72"/>
      <c r="M32" s="72"/>
      <c r="N32" s="71"/>
    </row>
    <row r="33" spans="1:14" ht="26.4" x14ac:dyDescent="0.3">
      <c r="A33" s="85"/>
      <c r="B33" s="74"/>
      <c r="C33" s="74"/>
      <c r="D33" s="74"/>
      <c r="E33" s="74"/>
      <c r="F33" s="26">
        <v>2</v>
      </c>
      <c r="G33" s="27" t="s">
        <v>102</v>
      </c>
      <c r="H33" s="27"/>
      <c r="I33" s="27" t="s">
        <v>103</v>
      </c>
      <c r="J33" s="37"/>
      <c r="K33" s="78"/>
      <c r="L33" s="72"/>
      <c r="M33" s="72"/>
      <c r="N33" s="71"/>
    </row>
    <row r="34" spans="1:14" ht="92.4" x14ac:dyDescent="0.3">
      <c r="A34" s="83">
        <v>12</v>
      </c>
      <c r="B34" s="73" t="s">
        <v>52</v>
      </c>
      <c r="C34" s="73" t="s">
        <v>104</v>
      </c>
      <c r="D34" s="73" t="s">
        <v>105</v>
      </c>
      <c r="E34" s="73" t="s">
        <v>55</v>
      </c>
      <c r="F34" s="24">
        <v>1</v>
      </c>
      <c r="G34" s="25" t="s">
        <v>106</v>
      </c>
      <c r="H34" s="25" t="s">
        <v>107</v>
      </c>
      <c r="I34" s="34"/>
      <c r="J34" s="35"/>
      <c r="K34" s="78"/>
      <c r="L34" s="72"/>
      <c r="M34" s="72"/>
      <c r="N34" s="71"/>
    </row>
    <row r="35" spans="1:14" ht="26.4" x14ac:dyDescent="0.3">
      <c r="A35" s="85"/>
      <c r="B35" s="74"/>
      <c r="C35" s="74"/>
      <c r="D35" s="74"/>
      <c r="E35" s="74"/>
      <c r="F35" s="26">
        <v>2</v>
      </c>
      <c r="G35" s="27" t="s">
        <v>60</v>
      </c>
      <c r="H35" s="27"/>
      <c r="I35" s="27" t="s">
        <v>108</v>
      </c>
      <c r="J35" s="37"/>
      <c r="K35" s="78"/>
      <c r="L35" s="72"/>
      <c r="M35" s="72"/>
      <c r="N35" s="71"/>
    </row>
    <row r="36" spans="1:14" ht="79.2" x14ac:dyDescent="0.3">
      <c r="A36" s="83">
        <v>13</v>
      </c>
      <c r="B36" s="73" t="s">
        <v>32</v>
      </c>
      <c r="C36" s="73" t="s">
        <v>109</v>
      </c>
      <c r="D36" s="73" t="s">
        <v>110</v>
      </c>
      <c r="E36" s="73" t="s">
        <v>55</v>
      </c>
      <c r="F36" s="24">
        <v>1</v>
      </c>
      <c r="G36" s="25" t="s">
        <v>111</v>
      </c>
      <c r="H36" s="25" t="s">
        <v>112</v>
      </c>
      <c r="I36" s="34"/>
      <c r="J36" s="35"/>
      <c r="K36" s="78"/>
      <c r="L36" s="72"/>
      <c r="M36" s="72"/>
      <c r="N36" s="71"/>
    </row>
    <row r="37" spans="1:14" ht="26.4" x14ac:dyDescent="0.3">
      <c r="A37" s="85"/>
      <c r="B37" s="74"/>
      <c r="C37" s="74"/>
      <c r="D37" s="74"/>
      <c r="E37" s="74"/>
      <c r="F37" s="26">
        <v>2</v>
      </c>
      <c r="G37" s="27" t="s">
        <v>60</v>
      </c>
      <c r="H37" s="27"/>
      <c r="I37" s="27" t="s">
        <v>113</v>
      </c>
      <c r="J37" s="37"/>
      <c r="K37" s="78"/>
      <c r="L37" s="72"/>
      <c r="M37" s="72"/>
      <c r="N37" s="71"/>
    </row>
    <row r="38" spans="1:14" ht="39.6" x14ac:dyDescent="0.3">
      <c r="A38" s="28">
        <v>14</v>
      </c>
      <c r="B38" s="25" t="s">
        <v>32</v>
      </c>
      <c r="C38" s="25" t="s">
        <v>114</v>
      </c>
      <c r="D38" s="25" t="s">
        <v>115</v>
      </c>
      <c r="E38" s="25" t="s">
        <v>116</v>
      </c>
      <c r="F38" s="24">
        <v>1</v>
      </c>
      <c r="G38" s="25" t="s">
        <v>117</v>
      </c>
      <c r="H38" s="25"/>
      <c r="I38" s="25" t="s">
        <v>118</v>
      </c>
      <c r="J38" s="35"/>
    </row>
    <row r="39" spans="1:14" ht="92.4" x14ac:dyDescent="0.3">
      <c r="A39" s="101">
        <v>15</v>
      </c>
      <c r="B39" s="90" t="s">
        <v>32</v>
      </c>
      <c r="C39" s="90" t="s">
        <v>119</v>
      </c>
      <c r="D39" s="90" t="s">
        <v>120</v>
      </c>
      <c r="E39" s="90" t="s">
        <v>55</v>
      </c>
      <c r="F39" s="26">
        <v>1</v>
      </c>
      <c r="G39" s="27" t="s">
        <v>121</v>
      </c>
      <c r="H39" s="27" t="s">
        <v>122</v>
      </c>
      <c r="I39" s="36"/>
      <c r="J39" s="37"/>
      <c r="K39" s="78"/>
      <c r="L39" s="72"/>
      <c r="M39" s="72"/>
      <c r="N39" s="71"/>
    </row>
    <row r="40" spans="1:14" ht="26.4" x14ac:dyDescent="0.3">
      <c r="A40" s="132"/>
      <c r="B40" s="111"/>
      <c r="C40" s="111"/>
      <c r="D40" s="111"/>
      <c r="E40" s="111"/>
      <c r="F40" s="31">
        <v>2</v>
      </c>
      <c r="G40" s="32" t="s">
        <v>123</v>
      </c>
      <c r="H40" s="32"/>
      <c r="I40" s="32" t="s">
        <v>124</v>
      </c>
      <c r="J40" s="54"/>
      <c r="K40" s="78"/>
      <c r="L40" s="72"/>
      <c r="M40" s="72"/>
      <c r="N40" s="71"/>
    </row>
    <row r="41" spans="1:14" x14ac:dyDescent="0.3">
      <c r="A41" s="149" t="s">
        <v>125</v>
      </c>
      <c r="B41" s="150"/>
      <c r="C41" s="150"/>
      <c r="D41" s="150"/>
      <c r="E41" s="150"/>
      <c r="F41" s="150"/>
      <c r="G41" s="150"/>
      <c r="H41" s="150"/>
      <c r="I41" s="150"/>
      <c r="J41" s="150"/>
      <c r="K41" s="150"/>
      <c r="L41" s="150"/>
      <c r="M41" s="150"/>
      <c r="N41" s="151"/>
    </row>
    <row r="42" spans="1:14" ht="40.200000000000003" customHeight="1" x14ac:dyDescent="0.3">
      <c r="A42" s="79">
        <v>16</v>
      </c>
      <c r="B42" s="68" t="s">
        <v>126</v>
      </c>
      <c r="C42" s="68" t="s">
        <v>127</v>
      </c>
      <c r="D42" s="68" t="s">
        <v>128</v>
      </c>
      <c r="E42" s="68" t="s">
        <v>129</v>
      </c>
      <c r="F42" s="68">
        <v>1</v>
      </c>
      <c r="G42" s="68" t="s">
        <v>130</v>
      </c>
      <c r="H42" s="68" t="s">
        <v>837</v>
      </c>
      <c r="I42" s="43"/>
      <c r="J42" s="67" t="s">
        <v>131</v>
      </c>
      <c r="K42" s="161" t="s">
        <v>38</v>
      </c>
      <c r="L42" s="148" t="s">
        <v>39</v>
      </c>
      <c r="M42" s="148"/>
      <c r="N42" s="70" t="s">
        <v>40</v>
      </c>
    </row>
    <row r="43" spans="1:14" x14ac:dyDescent="0.3">
      <c r="A43" s="80"/>
      <c r="B43" s="82"/>
      <c r="C43" s="82"/>
      <c r="D43" s="82"/>
      <c r="E43" s="82"/>
      <c r="F43" s="69"/>
      <c r="G43" s="69"/>
      <c r="H43" s="69"/>
      <c r="I43" s="34"/>
      <c r="J43" s="65"/>
      <c r="K43" s="78"/>
      <c r="L43" s="72"/>
      <c r="M43" s="72"/>
      <c r="N43" s="71"/>
    </row>
    <row r="44" spans="1:14" ht="26.4" x14ac:dyDescent="0.3">
      <c r="A44" s="81"/>
      <c r="B44" s="69"/>
      <c r="C44" s="69"/>
      <c r="D44" s="69"/>
      <c r="E44" s="69"/>
      <c r="F44" s="26">
        <v>2</v>
      </c>
      <c r="G44" s="27" t="s">
        <v>132</v>
      </c>
      <c r="H44" s="27"/>
      <c r="I44" s="27" t="s">
        <v>133</v>
      </c>
      <c r="J44" s="66"/>
      <c r="K44" s="78"/>
      <c r="L44" s="72"/>
      <c r="M44" s="72"/>
      <c r="N44" s="71"/>
    </row>
    <row r="45" spans="1:14" ht="40.200000000000003" customHeight="1" x14ac:dyDescent="0.3">
      <c r="A45" s="83">
        <v>17</v>
      </c>
      <c r="B45" s="73" t="s">
        <v>134</v>
      </c>
      <c r="C45" s="73" t="s">
        <v>135</v>
      </c>
      <c r="D45" s="73" t="s">
        <v>136</v>
      </c>
      <c r="E45" s="73" t="s">
        <v>129</v>
      </c>
      <c r="F45" s="73">
        <v>1</v>
      </c>
      <c r="G45" s="73" t="s">
        <v>137</v>
      </c>
      <c r="H45" s="73" t="s">
        <v>838</v>
      </c>
      <c r="I45" s="73"/>
      <c r="J45" s="75" t="s">
        <v>131</v>
      </c>
      <c r="K45" s="78" t="s">
        <v>38</v>
      </c>
      <c r="L45" s="72" t="s">
        <v>39</v>
      </c>
      <c r="M45" s="72"/>
      <c r="N45" s="70" t="s">
        <v>40</v>
      </c>
    </row>
    <row r="46" spans="1:14" x14ac:dyDescent="0.3">
      <c r="A46" s="84"/>
      <c r="B46" s="86"/>
      <c r="C46" s="86"/>
      <c r="D46" s="86"/>
      <c r="E46" s="86"/>
      <c r="F46" s="74"/>
      <c r="G46" s="74"/>
      <c r="H46" s="74"/>
      <c r="I46" s="160"/>
      <c r="J46" s="76"/>
      <c r="K46" s="78"/>
      <c r="L46" s="72"/>
      <c r="M46" s="72"/>
      <c r="N46" s="71"/>
    </row>
    <row r="47" spans="1:14" ht="39.6" x14ac:dyDescent="0.3">
      <c r="A47" s="85"/>
      <c r="B47" s="74"/>
      <c r="C47" s="74"/>
      <c r="D47" s="74"/>
      <c r="E47" s="74"/>
      <c r="F47" s="24">
        <v>2</v>
      </c>
      <c r="G47" s="25" t="s">
        <v>132</v>
      </c>
      <c r="H47" s="25"/>
      <c r="I47" s="63" t="s">
        <v>138</v>
      </c>
      <c r="J47" s="77"/>
      <c r="K47" s="78"/>
      <c r="L47" s="72"/>
      <c r="M47" s="72"/>
      <c r="N47" s="71"/>
    </row>
    <row r="48" spans="1:14" ht="27" customHeight="1" x14ac:dyDescent="0.3">
      <c r="A48" s="101">
        <v>18</v>
      </c>
      <c r="B48" s="90" t="s">
        <v>134</v>
      </c>
      <c r="C48" s="90" t="s">
        <v>139</v>
      </c>
      <c r="D48" s="90" t="s">
        <v>140</v>
      </c>
      <c r="E48" s="90" t="s">
        <v>141</v>
      </c>
      <c r="F48" s="26">
        <v>1</v>
      </c>
      <c r="G48" s="27" t="s">
        <v>142</v>
      </c>
      <c r="H48" s="27" t="s">
        <v>143</v>
      </c>
      <c r="I48" s="36"/>
      <c r="J48" s="37"/>
      <c r="K48" s="78"/>
      <c r="N48" s="71"/>
    </row>
    <row r="49" spans="1:14" ht="39.6" x14ac:dyDescent="0.3">
      <c r="A49" s="81"/>
      <c r="B49" s="69"/>
      <c r="C49" s="69"/>
      <c r="D49" s="69"/>
      <c r="E49" s="69"/>
      <c r="F49" s="24">
        <v>2</v>
      </c>
      <c r="G49" s="25" t="s">
        <v>132</v>
      </c>
      <c r="H49" s="25"/>
      <c r="I49" s="25" t="s">
        <v>138</v>
      </c>
      <c r="J49" s="35"/>
      <c r="K49" s="78"/>
      <c r="N49" s="71"/>
    </row>
    <row r="50" spans="1:14" ht="26.4" x14ac:dyDescent="0.3">
      <c r="A50" s="30">
        <v>19</v>
      </c>
      <c r="B50" s="27" t="s">
        <v>144</v>
      </c>
      <c r="C50" s="27" t="s">
        <v>145</v>
      </c>
      <c r="D50" s="27" t="s">
        <v>146</v>
      </c>
      <c r="E50" s="27" t="s">
        <v>147</v>
      </c>
      <c r="F50" s="26">
        <v>1</v>
      </c>
      <c r="G50" s="27" t="s">
        <v>148</v>
      </c>
      <c r="H50" s="27" t="s">
        <v>149</v>
      </c>
      <c r="I50" s="27" t="s">
        <v>150</v>
      </c>
      <c r="J50" s="38"/>
    </row>
    <row r="51" spans="1:14" ht="26.4" x14ac:dyDescent="0.3">
      <c r="A51" s="28">
        <v>20</v>
      </c>
      <c r="B51" s="25" t="s">
        <v>151</v>
      </c>
      <c r="C51" s="25" t="s">
        <v>152</v>
      </c>
      <c r="D51" s="25" t="s">
        <v>153</v>
      </c>
      <c r="E51" s="25" t="s">
        <v>154</v>
      </c>
      <c r="F51" s="24">
        <v>1</v>
      </c>
      <c r="G51" s="25" t="s">
        <v>155</v>
      </c>
      <c r="H51" s="25"/>
      <c r="I51" s="25" t="s">
        <v>156</v>
      </c>
      <c r="J51" s="35"/>
    </row>
    <row r="52" spans="1:14" ht="26.4" x14ac:dyDescent="0.3">
      <c r="A52" s="30">
        <v>21</v>
      </c>
      <c r="B52" s="27" t="s">
        <v>157</v>
      </c>
      <c r="C52" s="27" t="s">
        <v>158</v>
      </c>
      <c r="D52" s="27" t="s">
        <v>159</v>
      </c>
      <c r="E52" s="27" t="s">
        <v>160</v>
      </c>
      <c r="F52" s="26">
        <v>1</v>
      </c>
      <c r="G52" s="27" t="s">
        <v>161</v>
      </c>
      <c r="H52" s="27"/>
      <c r="I52" s="27" t="s">
        <v>162</v>
      </c>
      <c r="J52" s="38"/>
    </row>
    <row r="53" spans="1:14" ht="26.4" x14ac:dyDescent="0.3">
      <c r="A53" s="83">
        <v>22</v>
      </c>
      <c r="B53" s="73" t="s">
        <v>134</v>
      </c>
      <c r="C53" s="73" t="s">
        <v>163</v>
      </c>
      <c r="D53" s="73" t="s">
        <v>164</v>
      </c>
      <c r="E53" s="73" t="s">
        <v>165</v>
      </c>
      <c r="F53" s="24">
        <v>1</v>
      </c>
      <c r="G53" s="25" t="s">
        <v>166</v>
      </c>
      <c r="H53" s="25"/>
      <c r="I53" s="34"/>
      <c r="J53" s="35"/>
      <c r="K53" s="78"/>
      <c r="N53" s="71"/>
    </row>
    <row r="54" spans="1:14" ht="26.4" x14ac:dyDescent="0.3">
      <c r="A54" s="85"/>
      <c r="B54" s="74"/>
      <c r="C54" s="74"/>
      <c r="D54" s="74"/>
      <c r="E54" s="74"/>
      <c r="F54" s="26">
        <v>2</v>
      </c>
      <c r="G54" s="27" t="s">
        <v>167</v>
      </c>
      <c r="H54" s="27"/>
      <c r="I54" s="27" t="s">
        <v>168</v>
      </c>
      <c r="J54" s="37"/>
      <c r="K54" s="78"/>
      <c r="N54" s="71"/>
    </row>
    <row r="55" spans="1:14" ht="26.4" x14ac:dyDescent="0.3">
      <c r="A55" s="28">
        <v>23</v>
      </c>
      <c r="B55" s="25" t="s">
        <v>126</v>
      </c>
      <c r="C55" s="25" t="s">
        <v>169</v>
      </c>
      <c r="D55" s="25" t="s">
        <v>170</v>
      </c>
      <c r="E55" s="25" t="s">
        <v>171</v>
      </c>
      <c r="F55" s="24">
        <v>1</v>
      </c>
      <c r="G55" s="25" t="s">
        <v>172</v>
      </c>
      <c r="H55" s="25"/>
      <c r="I55" s="25" t="s">
        <v>173</v>
      </c>
      <c r="J55" s="29"/>
    </row>
    <row r="56" spans="1:14" ht="27" customHeight="1" x14ac:dyDescent="0.3">
      <c r="A56" s="101">
        <v>24</v>
      </c>
      <c r="B56" s="90" t="s">
        <v>126</v>
      </c>
      <c r="C56" s="90" t="s">
        <v>174</v>
      </c>
      <c r="D56" s="90" t="s">
        <v>175</v>
      </c>
      <c r="E56" s="90" t="s">
        <v>176</v>
      </c>
      <c r="F56" s="26">
        <v>1</v>
      </c>
      <c r="G56" s="27" t="s">
        <v>177</v>
      </c>
      <c r="H56" s="27" t="s">
        <v>178</v>
      </c>
      <c r="I56" s="36"/>
      <c r="J56" s="37"/>
      <c r="K56" s="78"/>
      <c r="N56" s="71"/>
    </row>
    <row r="57" spans="1:14" ht="26.4" x14ac:dyDescent="0.3">
      <c r="A57" s="81"/>
      <c r="B57" s="69"/>
      <c r="C57" s="69"/>
      <c r="D57" s="69"/>
      <c r="E57" s="69"/>
      <c r="F57" s="24">
        <v>2</v>
      </c>
      <c r="G57" s="25" t="s">
        <v>132</v>
      </c>
      <c r="H57" s="25"/>
      <c r="I57" s="25" t="s">
        <v>179</v>
      </c>
      <c r="J57" s="35"/>
      <c r="K57" s="78"/>
      <c r="N57" s="71"/>
    </row>
    <row r="58" spans="1:14" ht="26.4" x14ac:dyDescent="0.3">
      <c r="A58" s="39">
        <v>25</v>
      </c>
      <c r="B58" s="40" t="s">
        <v>126</v>
      </c>
      <c r="C58" s="40" t="s">
        <v>180</v>
      </c>
      <c r="D58" s="40" t="s">
        <v>181</v>
      </c>
      <c r="E58" s="40" t="s">
        <v>182</v>
      </c>
      <c r="F58" s="41">
        <v>1</v>
      </c>
      <c r="G58" s="40" t="s">
        <v>183</v>
      </c>
      <c r="H58" s="40"/>
      <c r="I58" s="40" t="s">
        <v>184</v>
      </c>
      <c r="J58" s="42"/>
    </row>
    <row r="59" spans="1:14" x14ac:dyDescent="0.3">
      <c r="A59" s="100" t="s">
        <v>185</v>
      </c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</row>
    <row r="60" spans="1:14" ht="27" customHeight="1" x14ac:dyDescent="0.3">
      <c r="A60" s="99">
        <v>26</v>
      </c>
      <c r="B60" s="104" t="s">
        <v>186</v>
      </c>
      <c r="C60" s="104" t="s">
        <v>187</v>
      </c>
      <c r="D60" s="104" t="s">
        <v>188</v>
      </c>
      <c r="E60" s="104" t="s">
        <v>189</v>
      </c>
      <c r="F60" s="22">
        <v>1</v>
      </c>
      <c r="G60" s="21" t="s">
        <v>190</v>
      </c>
      <c r="H60" s="44"/>
      <c r="I60" s="33"/>
      <c r="J60" s="23"/>
      <c r="K60" s="78"/>
      <c r="L60" s="72"/>
      <c r="M60" s="72"/>
      <c r="N60" s="71" t="s">
        <v>40</v>
      </c>
    </row>
    <row r="61" spans="1:14" ht="26.4" x14ac:dyDescent="0.3">
      <c r="A61" s="81"/>
      <c r="B61" s="69"/>
      <c r="C61" s="69"/>
      <c r="D61" s="69"/>
      <c r="E61" s="69"/>
      <c r="F61" s="24">
        <v>2</v>
      </c>
      <c r="G61" s="25" t="s">
        <v>191</v>
      </c>
      <c r="H61" s="45"/>
      <c r="I61" s="25" t="s">
        <v>192</v>
      </c>
      <c r="J61" s="35"/>
      <c r="K61" s="78"/>
      <c r="L61" s="72"/>
      <c r="M61" s="72"/>
      <c r="N61" s="71"/>
    </row>
    <row r="62" spans="1:14" ht="26.4" x14ac:dyDescent="0.3">
      <c r="A62" s="101">
        <v>27</v>
      </c>
      <c r="B62" s="90" t="s">
        <v>193</v>
      </c>
      <c r="C62" s="90" t="s">
        <v>194</v>
      </c>
      <c r="D62" s="90" t="s">
        <v>195</v>
      </c>
      <c r="E62" s="90" t="s">
        <v>196</v>
      </c>
      <c r="F62" s="26">
        <v>1</v>
      </c>
      <c r="G62" s="27" t="s">
        <v>197</v>
      </c>
      <c r="H62" s="46"/>
      <c r="I62" s="36"/>
      <c r="J62" s="37"/>
      <c r="K62" s="78"/>
      <c r="L62" s="72"/>
      <c r="M62" s="72"/>
      <c r="N62" s="71" t="s">
        <v>40</v>
      </c>
    </row>
    <row r="63" spans="1:14" ht="39.6" x14ac:dyDescent="0.3">
      <c r="A63" s="81"/>
      <c r="B63" s="69"/>
      <c r="C63" s="69"/>
      <c r="D63" s="69"/>
      <c r="E63" s="69"/>
      <c r="F63" s="24">
        <v>2</v>
      </c>
      <c r="G63" s="25" t="s">
        <v>198</v>
      </c>
      <c r="H63" s="45"/>
      <c r="I63" s="25" t="s">
        <v>199</v>
      </c>
      <c r="J63" s="35"/>
      <c r="K63" s="78"/>
      <c r="L63" s="72"/>
      <c r="M63" s="72"/>
      <c r="N63" s="71"/>
    </row>
    <row r="64" spans="1:14" ht="26.4" x14ac:dyDescent="0.3">
      <c r="A64" s="101">
        <v>28</v>
      </c>
      <c r="B64" s="90" t="s">
        <v>200</v>
      </c>
      <c r="C64" s="90" t="s">
        <v>201</v>
      </c>
      <c r="D64" s="90" t="s">
        <v>202</v>
      </c>
      <c r="E64" s="90" t="s">
        <v>203</v>
      </c>
      <c r="F64" s="26">
        <v>1</v>
      </c>
      <c r="G64" s="27" t="s">
        <v>204</v>
      </c>
      <c r="H64" s="47" t="s">
        <v>205</v>
      </c>
      <c r="I64" s="36"/>
      <c r="J64" s="37"/>
      <c r="K64" s="78"/>
      <c r="L64" s="72"/>
      <c r="M64" s="72"/>
      <c r="N64" s="71" t="s">
        <v>40</v>
      </c>
    </row>
    <row r="65" spans="1:14" ht="39.6" x14ac:dyDescent="0.3">
      <c r="A65" s="81"/>
      <c r="B65" s="69"/>
      <c r="C65" s="69"/>
      <c r="D65" s="69"/>
      <c r="E65" s="69"/>
      <c r="F65" s="24">
        <v>2</v>
      </c>
      <c r="G65" s="25" t="s">
        <v>206</v>
      </c>
      <c r="H65" s="45"/>
      <c r="I65" s="25" t="s">
        <v>207</v>
      </c>
      <c r="J65" s="35"/>
      <c r="K65" s="78"/>
      <c r="L65" s="72"/>
      <c r="M65" s="72"/>
      <c r="N65" s="71"/>
    </row>
    <row r="66" spans="1:14" ht="39.6" x14ac:dyDescent="0.3">
      <c r="A66" s="30">
        <v>29</v>
      </c>
      <c r="B66" s="27" t="s">
        <v>208</v>
      </c>
      <c r="C66" s="27" t="s">
        <v>209</v>
      </c>
      <c r="D66" s="27" t="s">
        <v>210</v>
      </c>
      <c r="E66" s="27" t="s">
        <v>203</v>
      </c>
      <c r="F66" s="26">
        <v>1</v>
      </c>
      <c r="G66" s="27" t="s">
        <v>211</v>
      </c>
      <c r="H66" s="46"/>
      <c r="I66" s="27" t="s">
        <v>212</v>
      </c>
      <c r="J66" s="38"/>
    </row>
    <row r="67" spans="1:14" ht="53.4" customHeight="1" x14ac:dyDescent="0.3">
      <c r="A67" s="83">
        <v>30</v>
      </c>
      <c r="B67" s="73" t="s">
        <v>186</v>
      </c>
      <c r="C67" s="73" t="s">
        <v>213</v>
      </c>
      <c r="D67" s="73" t="s">
        <v>214</v>
      </c>
      <c r="E67" s="73" t="s">
        <v>215</v>
      </c>
      <c r="F67" s="24">
        <v>1</v>
      </c>
      <c r="G67" s="25" t="s">
        <v>190</v>
      </c>
      <c r="H67" s="45"/>
      <c r="I67" s="34"/>
      <c r="J67" s="35"/>
    </row>
    <row r="68" spans="1:14" ht="39.6" x14ac:dyDescent="0.3">
      <c r="A68" s="85"/>
      <c r="B68" s="74"/>
      <c r="C68" s="74"/>
      <c r="D68" s="74"/>
      <c r="E68" s="74"/>
      <c r="F68" s="26">
        <v>2</v>
      </c>
      <c r="G68" s="27" t="s">
        <v>216</v>
      </c>
      <c r="H68" s="46"/>
      <c r="I68" s="27" t="s">
        <v>217</v>
      </c>
      <c r="J68" s="37"/>
    </row>
    <row r="69" spans="1:14" ht="40.200000000000003" customHeight="1" x14ac:dyDescent="0.3">
      <c r="A69" s="83">
        <v>31</v>
      </c>
      <c r="B69" s="73" t="s">
        <v>200</v>
      </c>
      <c r="C69" s="73" t="s">
        <v>218</v>
      </c>
      <c r="D69" s="73" t="s">
        <v>219</v>
      </c>
      <c r="E69" s="73" t="s">
        <v>203</v>
      </c>
      <c r="F69" s="24">
        <v>1</v>
      </c>
      <c r="G69" s="25" t="s">
        <v>220</v>
      </c>
      <c r="H69" s="45"/>
      <c r="I69" s="34"/>
      <c r="J69" s="35"/>
    </row>
    <row r="70" spans="1:14" ht="39.6" x14ac:dyDescent="0.3">
      <c r="A70" s="85"/>
      <c r="B70" s="74"/>
      <c r="C70" s="74"/>
      <c r="D70" s="74"/>
      <c r="E70" s="74"/>
      <c r="F70" s="26">
        <v>2</v>
      </c>
      <c r="G70" s="27" t="s">
        <v>221</v>
      </c>
      <c r="H70" s="46"/>
      <c r="I70" s="27" t="s">
        <v>222</v>
      </c>
      <c r="J70" s="37"/>
    </row>
    <row r="71" spans="1:14" ht="26.4" x14ac:dyDescent="0.3">
      <c r="A71" s="28">
        <v>32</v>
      </c>
      <c r="B71" s="25" t="s">
        <v>186</v>
      </c>
      <c r="C71" s="25" t="s">
        <v>223</v>
      </c>
      <c r="D71" s="25" t="s">
        <v>224</v>
      </c>
      <c r="E71" s="25" t="s">
        <v>203</v>
      </c>
      <c r="F71" s="24">
        <v>1</v>
      </c>
      <c r="G71" s="25" t="s">
        <v>225</v>
      </c>
      <c r="H71" s="45"/>
      <c r="I71" s="25" t="s">
        <v>226</v>
      </c>
      <c r="J71" s="35"/>
    </row>
    <row r="72" spans="1:14" ht="39.6" x14ac:dyDescent="0.3">
      <c r="A72" s="39">
        <v>33</v>
      </c>
      <c r="B72" s="40" t="s">
        <v>186</v>
      </c>
      <c r="C72" s="40" t="s">
        <v>227</v>
      </c>
      <c r="D72" s="40" t="s">
        <v>228</v>
      </c>
      <c r="E72" s="40" t="s">
        <v>229</v>
      </c>
      <c r="F72" s="41">
        <v>1</v>
      </c>
      <c r="G72" s="40" t="s">
        <v>230</v>
      </c>
      <c r="H72" s="48"/>
      <c r="I72" s="40" t="s">
        <v>231</v>
      </c>
      <c r="J72" s="49"/>
      <c r="N72" s="62" t="s">
        <v>40</v>
      </c>
    </row>
    <row r="73" spans="1:14" x14ac:dyDescent="0.3">
      <c r="A73" s="87" t="s">
        <v>232</v>
      </c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</row>
    <row r="74" spans="1:14" ht="40.200000000000003" customHeight="1" x14ac:dyDescent="0.3">
      <c r="A74" s="99">
        <v>34</v>
      </c>
      <c r="B74" s="104" t="s">
        <v>233</v>
      </c>
      <c r="C74" s="104" t="s">
        <v>234</v>
      </c>
      <c r="D74" s="104" t="s">
        <v>235</v>
      </c>
      <c r="E74" s="104" t="s">
        <v>236</v>
      </c>
      <c r="F74" s="22">
        <v>1</v>
      </c>
      <c r="G74" s="21" t="s">
        <v>237</v>
      </c>
      <c r="H74" s="44"/>
      <c r="I74" s="33"/>
      <c r="J74" s="23"/>
      <c r="K74" s="78"/>
      <c r="L74" s="72"/>
      <c r="M74" s="72"/>
      <c r="N74" s="71" t="s">
        <v>40</v>
      </c>
    </row>
    <row r="75" spans="1:14" ht="26.4" x14ac:dyDescent="0.3">
      <c r="A75" s="80"/>
      <c r="B75" s="82"/>
      <c r="C75" s="82"/>
      <c r="D75" s="82"/>
      <c r="E75" s="82"/>
      <c r="F75" s="24">
        <v>2</v>
      </c>
      <c r="G75" s="25" t="s">
        <v>238</v>
      </c>
      <c r="H75" s="50" t="s">
        <v>239</v>
      </c>
      <c r="I75" s="34"/>
      <c r="J75" s="35"/>
      <c r="K75" s="78"/>
      <c r="L75" s="72"/>
      <c r="M75" s="72"/>
      <c r="N75" s="71"/>
    </row>
    <row r="76" spans="1:14" ht="26.4" x14ac:dyDescent="0.3">
      <c r="A76" s="80"/>
      <c r="B76" s="82"/>
      <c r="C76" s="82"/>
      <c r="D76" s="82"/>
      <c r="E76" s="82"/>
      <c r="F76" s="26">
        <v>3</v>
      </c>
      <c r="G76" s="27" t="s">
        <v>240</v>
      </c>
      <c r="H76" s="46"/>
      <c r="I76" s="36"/>
      <c r="J76" s="37"/>
      <c r="K76" s="78"/>
      <c r="L76" s="72"/>
      <c r="M76" s="72"/>
      <c r="N76" s="71"/>
    </row>
    <row r="77" spans="1:14" ht="26.4" x14ac:dyDescent="0.3">
      <c r="A77" s="81"/>
      <c r="B77" s="69"/>
      <c r="C77" s="69"/>
      <c r="D77" s="69"/>
      <c r="E77" s="69"/>
      <c r="F77" s="24">
        <v>4</v>
      </c>
      <c r="G77" s="25" t="s">
        <v>241</v>
      </c>
      <c r="H77" s="45"/>
      <c r="I77" s="25" t="s">
        <v>242</v>
      </c>
      <c r="J77" s="35"/>
      <c r="K77" s="78"/>
      <c r="L77" s="72"/>
      <c r="M77" s="72"/>
      <c r="N77" s="71"/>
    </row>
    <row r="78" spans="1:14" ht="40.200000000000003" customHeight="1" x14ac:dyDescent="0.3">
      <c r="A78" s="101">
        <v>35</v>
      </c>
      <c r="B78" s="90" t="s">
        <v>233</v>
      </c>
      <c r="C78" s="90" t="s">
        <v>243</v>
      </c>
      <c r="D78" s="90" t="s">
        <v>244</v>
      </c>
      <c r="E78" s="90" t="s">
        <v>236</v>
      </c>
      <c r="F78" s="26">
        <v>1</v>
      </c>
      <c r="G78" s="27" t="s">
        <v>237</v>
      </c>
      <c r="H78" s="46"/>
      <c r="I78" s="36"/>
      <c r="J78" s="38"/>
      <c r="K78" s="78"/>
      <c r="L78" s="72"/>
      <c r="M78" s="72"/>
      <c r="N78" s="71" t="s">
        <v>40</v>
      </c>
    </row>
    <row r="79" spans="1:14" x14ac:dyDescent="0.3">
      <c r="A79" s="80"/>
      <c r="B79" s="82"/>
      <c r="C79" s="82"/>
      <c r="D79" s="82"/>
      <c r="E79" s="82"/>
      <c r="F79" s="24">
        <v>2</v>
      </c>
      <c r="G79" s="25" t="s">
        <v>245</v>
      </c>
      <c r="H79" s="51" t="s">
        <v>246</v>
      </c>
      <c r="I79" s="34"/>
      <c r="J79" s="35"/>
      <c r="K79" s="78"/>
      <c r="L79" s="72"/>
      <c r="M79" s="72"/>
      <c r="N79" s="71"/>
    </row>
    <row r="80" spans="1:14" x14ac:dyDescent="0.3">
      <c r="A80" s="80"/>
      <c r="B80" s="82"/>
      <c r="C80" s="82"/>
      <c r="D80" s="82"/>
      <c r="E80" s="82"/>
      <c r="F80" s="26">
        <v>3</v>
      </c>
      <c r="G80" s="27" t="s">
        <v>247</v>
      </c>
      <c r="H80" s="46"/>
      <c r="I80" s="36"/>
      <c r="J80" s="37"/>
      <c r="K80" s="78"/>
      <c r="L80" s="72"/>
      <c r="M80" s="72"/>
      <c r="N80" s="71"/>
    </row>
    <row r="81" spans="1:14" ht="26.4" x14ac:dyDescent="0.3">
      <c r="A81" s="81"/>
      <c r="B81" s="69"/>
      <c r="C81" s="69"/>
      <c r="D81" s="69"/>
      <c r="E81" s="69"/>
      <c r="F81" s="24">
        <v>4</v>
      </c>
      <c r="G81" s="25" t="s">
        <v>241</v>
      </c>
      <c r="H81" s="45"/>
      <c r="I81" s="25" t="s">
        <v>248</v>
      </c>
      <c r="J81" s="35"/>
      <c r="K81" s="78"/>
      <c r="L81" s="72"/>
      <c r="M81" s="72"/>
      <c r="N81" s="71"/>
    </row>
    <row r="82" spans="1:14" ht="39.6" x14ac:dyDescent="0.3">
      <c r="A82" s="101">
        <v>36</v>
      </c>
      <c r="B82" s="90" t="s">
        <v>249</v>
      </c>
      <c r="C82" s="90" t="s">
        <v>250</v>
      </c>
      <c r="D82" s="90" t="s">
        <v>251</v>
      </c>
      <c r="E82" s="90" t="s">
        <v>252</v>
      </c>
      <c r="F82" s="26">
        <v>1</v>
      </c>
      <c r="G82" s="27" t="s">
        <v>253</v>
      </c>
      <c r="H82" s="52" t="s">
        <v>254</v>
      </c>
      <c r="I82" s="36"/>
      <c r="J82" s="37"/>
    </row>
    <row r="83" spans="1:14" ht="39.6" x14ac:dyDescent="0.3">
      <c r="A83" s="81"/>
      <c r="B83" s="69"/>
      <c r="C83" s="69"/>
      <c r="D83" s="69"/>
      <c r="E83" s="69"/>
      <c r="F83" s="24">
        <v>2</v>
      </c>
      <c r="G83" s="25" t="s">
        <v>241</v>
      </c>
      <c r="H83" s="45"/>
      <c r="I83" s="25" t="s">
        <v>255</v>
      </c>
      <c r="J83" s="35"/>
    </row>
    <row r="84" spans="1:14" ht="26.4" x14ac:dyDescent="0.3">
      <c r="A84" s="101">
        <v>37</v>
      </c>
      <c r="B84" s="90" t="s">
        <v>256</v>
      </c>
      <c r="C84" s="90" t="s">
        <v>257</v>
      </c>
      <c r="D84" s="90" t="s">
        <v>258</v>
      </c>
      <c r="E84" s="90" t="s">
        <v>259</v>
      </c>
      <c r="F84" s="26">
        <v>1</v>
      </c>
      <c r="G84" s="27" t="s">
        <v>260</v>
      </c>
      <c r="H84" s="46"/>
      <c r="I84" s="36"/>
      <c r="J84" s="38"/>
      <c r="K84" s="78"/>
      <c r="L84" s="72"/>
      <c r="M84" s="72"/>
      <c r="N84" s="71" t="s">
        <v>40</v>
      </c>
    </row>
    <row r="85" spans="1:14" ht="26.4" x14ac:dyDescent="0.3">
      <c r="A85" s="81"/>
      <c r="B85" s="69"/>
      <c r="C85" s="69"/>
      <c r="D85" s="69"/>
      <c r="E85" s="69"/>
      <c r="F85" s="24">
        <v>2</v>
      </c>
      <c r="G85" s="25" t="s">
        <v>241</v>
      </c>
      <c r="H85" s="45"/>
      <c r="I85" s="25" t="s">
        <v>261</v>
      </c>
      <c r="J85" s="35"/>
      <c r="K85" s="78"/>
      <c r="L85" s="72"/>
      <c r="M85" s="72"/>
      <c r="N85" s="71"/>
    </row>
    <row r="86" spans="1:14" ht="40.200000000000003" customHeight="1" x14ac:dyDescent="0.3">
      <c r="A86" s="101">
        <v>38</v>
      </c>
      <c r="B86" s="90" t="s">
        <v>262</v>
      </c>
      <c r="C86" s="90" t="s">
        <v>263</v>
      </c>
      <c r="D86" s="90" t="s">
        <v>264</v>
      </c>
      <c r="E86" s="90" t="s">
        <v>265</v>
      </c>
      <c r="F86" s="26">
        <v>1</v>
      </c>
      <c r="G86" s="27" t="s">
        <v>266</v>
      </c>
      <c r="H86" s="53" t="s">
        <v>267</v>
      </c>
      <c r="I86" s="36"/>
      <c r="J86" s="37"/>
    </row>
    <row r="87" spans="1:14" ht="26.4" x14ac:dyDescent="0.3">
      <c r="A87" s="81"/>
      <c r="B87" s="69"/>
      <c r="C87" s="69"/>
      <c r="D87" s="69"/>
      <c r="E87" s="69"/>
      <c r="F87" s="24">
        <v>2</v>
      </c>
      <c r="G87" s="25" t="s">
        <v>268</v>
      </c>
      <c r="H87" s="45"/>
      <c r="I87" s="25" t="s">
        <v>269</v>
      </c>
      <c r="J87" s="35"/>
    </row>
    <row r="88" spans="1:14" ht="39.6" x14ac:dyDescent="0.3">
      <c r="A88" s="30">
        <v>39</v>
      </c>
      <c r="B88" s="27" t="s">
        <v>233</v>
      </c>
      <c r="C88" s="27" t="s">
        <v>270</v>
      </c>
      <c r="D88" s="27" t="s">
        <v>271</v>
      </c>
      <c r="E88" s="27" t="s">
        <v>272</v>
      </c>
      <c r="F88" s="26">
        <v>1</v>
      </c>
      <c r="G88" s="27" t="s">
        <v>273</v>
      </c>
      <c r="H88" s="46"/>
      <c r="I88" s="27" t="s">
        <v>274</v>
      </c>
      <c r="J88" s="38"/>
    </row>
    <row r="89" spans="1:14" ht="27" customHeight="1" x14ac:dyDescent="0.3">
      <c r="A89" s="83">
        <v>40</v>
      </c>
      <c r="B89" s="73" t="s">
        <v>233</v>
      </c>
      <c r="C89" s="73" t="s">
        <v>275</v>
      </c>
      <c r="D89" s="73" t="s">
        <v>276</v>
      </c>
      <c r="E89" s="73" t="s">
        <v>277</v>
      </c>
      <c r="F89" s="24">
        <v>1</v>
      </c>
      <c r="G89" s="25" t="s">
        <v>278</v>
      </c>
      <c r="H89" s="45"/>
      <c r="I89" s="34"/>
      <c r="J89" s="29"/>
    </row>
    <row r="90" spans="1:14" ht="39.6" x14ac:dyDescent="0.3">
      <c r="A90" s="127"/>
      <c r="B90" s="119"/>
      <c r="C90" s="119"/>
      <c r="D90" s="119"/>
      <c r="E90" s="119"/>
      <c r="F90" s="41">
        <v>2</v>
      </c>
      <c r="G90" s="40" t="s">
        <v>279</v>
      </c>
      <c r="H90" s="48"/>
      <c r="I90" s="40" t="s">
        <v>280</v>
      </c>
      <c r="J90" s="42"/>
    </row>
    <row r="91" spans="1:14" x14ac:dyDescent="0.3">
      <c r="A91" s="109" t="s">
        <v>281</v>
      </c>
      <c r="B91" s="109"/>
      <c r="C91" s="109"/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</row>
    <row r="92" spans="1:14" ht="27" customHeight="1" x14ac:dyDescent="0.3">
      <c r="A92" s="99">
        <v>41</v>
      </c>
      <c r="B92" s="102" t="s">
        <v>282</v>
      </c>
      <c r="C92" s="104" t="s">
        <v>283</v>
      </c>
      <c r="D92" s="104" t="s">
        <v>284</v>
      </c>
      <c r="E92" s="104" t="s">
        <v>285</v>
      </c>
      <c r="F92" s="22">
        <v>1</v>
      </c>
      <c r="G92" s="21" t="s">
        <v>286</v>
      </c>
      <c r="H92" s="21" t="s">
        <v>287</v>
      </c>
      <c r="I92" s="33"/>
      <c r="J92" s="23"/>
      <c r="K92" s="153"/>
      <c r="L92" s="152"/>
      <c r="M92" s="152"/>
      <c r="N92" s="110" t="s">
        <v>40</v>
      </c>
    </row>
    <row r="93" spans="1:14" ht="26.4" x14ac:dyDescent="0.3">
      <c r="A93" s="80"/>
      <c r="B93" s="112"/>
      <c r="C93" s="82"/>
      <c r="D93" s="82"/>
      <c r="E93" s="82"/>
      <c r="F93" s="24">
        <v>2</v>
      </c>
      <c r="G93" s="25" t="s">
        <v>288</v>
      </c>
      <c r="H93" s="25"/>
      <c r="I93" s="34"/>
      <c r="J93" s="35"/>
      <c r="K93" s="78"/>
      <c r="L93" s="72"/>
      <c r="M93" s="72"/>
      <c r="N93" s="71"/>
    </row>
    <row r="94" spans="1:14" x14ac:dyDescent="0.3">
      <c r="A94" s="81"/>
      <c r="B94" s="103"/>
      <c r="C94" s="69"/>
      <c r="D94" s="69"/>
      <c r="E94" s="69"/>
      <c r="F94" s="26">
        <v>3</v>
      </c>
      <c r="G94" s="27" t="s">
        <v>289</v>
      </c>
      <c r="H94" s="27"/>
      <c r="I94" s="27" t="s">
        <v>290</v>
      </c>
      <c r="J94" s="37"/>
      <c r="K94" s="78"/>
      <c r="L94" s="72"/>
      <c r="M94" s="72"/>
      <c r="N94" s="71"/>
    </row>
    <row r="95" spans="1:14" ht="27" customHeight="1" x14ac:dyDescent="0.3">
      <c r="A95" s="83">
        <v>42</v>
      </c>
      <c r="B95" s="113" t="s">
        <v>291</v>
      </c>
      <c r="C95" s="73" t="s">
        <v>292</v>
      </c>
      <c r="D95" s="73" t="s">
        <v>293</v>
      </c>
      <c r="E95" s="73" t="s">
        <v>294</v>
      </c>
      <c r="F95" s="24">
        <v>1</v>
      </c>
      <c r="G95" s="25" t="s">
        <v>295</v>
      </c>
      <c r="H95" s="25" t="s">
        <v>296</v>
      </c>
      <c r="I95" s="34"/>
      <c r="J95" s="29"/>
      <c r="K95" s="78"/>
      <c r="L95" s="72"/>
      <c r="M95" s="72"/>
      <c r="N95" s="71" t="s">
        <v>40</v>
      </c>
    </row>
    <row r="96" spans="1:14" ht="26.4" x14ac:dyDescent="0.3">
      <c r="A96" s="85"/>
      <c r="B96" s="114"/>
      <c r="C96" s="74"/>
      <c r="D96" s="74"/>
      <c r="E96" s="74"/>
      <c r="F96" s="26">
        <v>2</v>
      </c>
      <c r="G96" s="27" t="s">
        <v>289</v>
      </c>
      <c r="H96" s="27"/>
      <c r="I96" s="27" t="s">
        <v>297</v>
      </c>
      <c r="J96" s="37"/>
      <c r="K96" s="78"/>
      <c r="L96" s="72"/>
      <c r="M96" s="72"/>
      <c r="N96" s="71"/>
    </row>
    <row r="97" spans="1:14" ht="27" customHeight="1" x14ac:dyDescent="0.3">
      <c r="A97" s="83">
        <v>43</v>
      </c>
      <c r="B97" s="88" t="s">
        <v>298</v>
      </c>
      <c r="C97" s="73" t="s">
        <v>299</v>
      </c>
      <c r="D97" s="73" t="s">
        <v>300</v>
      </c>
      <c r="E97" s="73" t="s">
        <v>236</v>
      </c>
      <c r="F97" s="24">
        <v>1</v>
      </c>
      <c r="G97" s="25" t="s">
        <v>301</v>
      </c>
      <c r="H97" s="25" t="s">
        <v>302</v>
      </c>
      <c r="I97" s="34"/>
      <c r="J97" s="29"/>
      <c r="K97" s="78"/>
      <c r="L97" s="72"/>
      <c r="M97" s="72"/>
      <c r="N97" s="71" t="s">
        <v>40</v>
      </c>
    </row>
    <row r="98" spans="1:14" x14ac:dyDescent="0.3">
      <c r="A98" s="85"/>
      <c r="B98" s="89"/>
      <c r="C98" s="74"/>
      <c r="D98" s="74"/>
      <c r="E98" s="74"/>
      <c r="F98" s="26">
        <v>2</v>
      </c>
      <c r="G98" s="27" t="s">
        <v>289</v>
      </c>
      <c r="H98" s="27"/>
      <c r="I98" s="27" t="s">
        <v>303</v>
      </c>
      <c r="J98" s="37"/>
      <c r="K98" s="78"/>
      <c r="L98" s="72"/>
      <c r="M98" s="72"/>
      <c r="N98" s="71"/>
    </row>
    <row r="99" spans="1:14" ht="27" customHeight="1" x14ac:dyDescent="0.3">
      <c r="A99" s="83">
        <v>44</v>
      </c>
      <c r="B99" s="88" t="s">
        <v>298</v>
      </c>
      <c r="C99" s="73" t="s">
        <v>304</v>
      </c>
      <c r="D99" s="73" t="s">
        <v>305</v>
      </c>
      <c r="E99" s="73" t="s">
        <v>236</v>
      </c>
      <c r="F99" s="24">
        <v>1</v>
      </c>
      <c r="G99" s="25" t="s">
        <v>306</v>
      </c>
      <c r="H99" s="25" t="s">
        <v>307</v>
      </c>
      <c r="I99" s="34"/>
      <c r="J99" s="29"/>
      <c r="K99" s="78"/>
      <c r="L99" s="72"/>
      <c r="M99" s="72"/>
      <c r="N99" s="71" t="s">
        <v>40</v>
      </c>
    </row>
    <row r="100" spans="1:14" x14ac:dyDescent="0.3">
      <c r="A100" s="85"/>
      <c r="B100" s="89"/>
      <c r="C100" s="74"/>
      <c r="D100" s="74"/>
      <c r="E100" s="74"/>
      <c r="F100" s="26">
        <v>2</v>
      </c>
      <c r="G100" s="27" t="s">
        <v>289</v>
      </c>
      <c r="H100" s="27"/>
      <c r="I100" s="27" t="s">
        <v>308</v>
      </c>
      <c r="J100" s="37"/>
      <c r="K100" s="78"/>
      <c r="L100" s="72"/>
      <c r="M100" s="72"/>
      <c r="N100" s="71"/>
    </row>
    <row r="101" spans="1:14" ht="27" customHeight="1" x14ac:dyDescent="0.3">
      <c r="A101" s="83">
        <v>45</v>
      </c>
      <c r="B101" s="88" t="s">
        <v>298</v>
      </c>
      <c r="C101" s="73" t="s">
        <v>309</v>
      </c>
      <c r="D101" s="73" t="s">
        <v>310</v>
      </c>
      <c r="E101" s="73" t="s">
        <v>236</v>
      </c>
      <c r="F101" s="24">
        <v>1</v>
      </c>
      <c r="G101" s="25" t="s">
        <v>311</v>
      </c>
      <c r="H101" s="25" t="s">
        <v>312</v>
      </c>
      <c r="I101" s="34"/>
      <c r="J101" s="35"/>
      <c r="K101" s="78"/>
      <c r="L101" s="72"/>
      <c r="M101" s="72"/>
      <c r="N101" s="71" t="s">
        <v>40</v>
      </c>
    </row>
    <row r="102" spans="1:14" ht="26.4" x14ac:dyDescent="0.3">
      <c r="A102" s="85"/>
      <c r="B102" s="89"/>
      <c r="C102" s="74"/>
      <c r="D102" s="74"/>
      <c r="E102" s="74"/>
      <c r="F102" s="26">
        <v>2</v>
      </c>
      <c r="G102" s="27" t="s">
        <v>289</v>
      </c>
      <c r="H102" s="27"/>
      <c r="I102" s="27" t="s">
        <v>313</v>
      </c>
      <c r="J102" s="37"/>
      <c r="K102" s="78"/>
      <c r="L102" s="72"/>
      <c r="M102" s="72"/>
      <c r="N102" s="71"/>
    </row>
    <row r="103" spans="1:14" ht="26.4" x14ac:dyDescent="0.3">
      <c r="A103" s="83">
        <v>46</v>
      </c>
      <c r="B103" s="93" t="s">
        <v>314</v>
      </c>
      <c r="C103" s="73" t="s">
        <v>315</v>
      </c>
      <c r="D103" s="73" t="s">
        <v>316</v>
      </c>
      <c r="E103" s="73" t="s">
        <v>236</v>
      </c>
      <c r="F103" s="24">
        <v>1</v>
      </c>
      <c r="G103" s="25" t="s">
        <v>317</v>
      </c>
      <c r="H103" s="25" t="s">
        <v>318</v>
      </c>
      <c r="I103" s="34"/>
      <c r="J103" s="35"/>
      <c r="K103" s="78"/>
      <c r="L103" s="72"/>
      <c r="M103" s="72"/>
      <c r="N103" s="71" t="s">
        <v>40</v>
      </c>
    </row>
    <row r="104" spans="1:14" ht="26.4" x14ac:dyDescent="0.3">
      <c r="A104" s="85"/>
      <c r="B104" s="94"/>
      <c r="C104" s="74"/>
      <c r="D104" s="74"/>
      <c r="E104" s="74"/>
      <c r="F104" s="26">
        <v>2</v>
      </c>
      <c r="G104" s="27" t="s">
        <v>289</v>
      </c>
      <c r="H104" s="27"/>
      <c r="I104" s="27" t="s">
        <v>319</v>
      </c>
      <c r="J104" s="37"/>
      <c r="K104" s="78"/>
      <c r="L104" s="72"/>
      <c r="M104" s="72"/>
      <c r="N104" s="71"/>
    </row>
    <row r="105" spans="1:14" x14ac:dyDescent="0.3">
      <c r="A105" s="83">
        <v>47</v>
      </c>
      <c r="B105" s="91" t="s">
        <v>282</v>
      </c>
      <c r="C105" s="73" t="s">
        <v>320</v>
      </c>
      <c r="D105" s="73" t="s">
        <v>321</v>
      </c>
      <c r="E105" s="73" t="s">
        <v>236</v>
      </c>
      <c r="F105" s="24">
        <v>1</v>
      </c>
      <c r="G105" s="25" t="s">
        <v>322</v>
      </c>
      <c r="H105" s="25" t="s">
        <v>323</v>
      </c>
      <c r="I105" s="34"/>
      <c r="J105" s="35"/>
      <c r="K105" s="78"/>
      <c r="L105" s="72"/>
      <c r="M105" s="72"/>
      <c r="N105" s="71" t="s">
        <v>40</v>
      </c>
    </row>
    <row r="106" spans="1:14" ht="26.4" x14ac:dyDescent="0.3">
      <c r="A106" s="85"/>
      <c r="B106" s="92"/>
      <c r="C106" s="74"/>
      <c r="D106" s="74"/>
      <c r="E106" s="74"/>
      <c r="F106" s="26">
        <v>2</v>
      </c>
      <c r="G106" s="27" t="s">
        <v>289</v>
      </c>
      <c r="H106" s="27"/>
      <c r="I106" s="27" t="s">
        <v>324</v>
      </c>
      <c r="J106" s="37"/>
      <c r="K106" s="78"/>
      <c r="L106" s="72"/>
      <c r="M106" s="72"/>
      <c r="N106" s="71"/>
    </row>
    <row r="107" spans="1:14" ht="27" customHeight="1" x14ac:dyDescent="0.3">
      <c r="A107" s="83">
        <v>48</v>
      </c>
      <c r="B107" s="91" t="s">
        <v>282</v>
      </c>
      <c r="C107" s="73" t="s">
        <v>325</v>
      </c>
      <c r="D107" s="73" t="s">
        <v>326</v>
      </c>
      <c r="E107" s="73" t="s">
        <v>236</v>
      </c>
      <c r="F107" s="24">
        <v>1</v>
      </c>
      <c r="G107" s="25" t="s">
        <v>327</v>
      </c>
      <c r="H107" s="25" t="s">
        <v>328</v>
      </c>
      <c r="I107" s="34"/>
      <c r="J107" s="35"/>
    </row>
    <row r="108" spans="1:14" x14ac:dyDescent="0.3">
      <c r="A108" s="85"/>
      <c r="B108" s="92"/>
      <c r="C108" s="74"/>
      <c r="D108" s="74"/>
      <c r="E108" s="74"/>
      <c r="F108" s="26">
        <v>2</v>
      </c>
      <c r="G108" s="27" t="s">
        <v>289</v>
      </c>
      <c r="H108" s="27"/>
      <c r="I108" s="27" t="s">
        <v>329</v>
      </c>
      <c r="J108" s="37"/>
    </row>
    <row r="109" spans="1:14" ht="27" customHeight="1" x14ac:dyDescent="0.3">
      <c r="A109" s="83">
        <v>49</v>
      </c>
      <c r="B109" s="97" t="s">
        <v>330</v>
      </c>
      <c r="C109" s="73" t="s">
        <v>331</v>
      </c>
      <c r="D109" s="73" t="s">
        <v>332</v>
      </c>
      <c r="E109" s="73" t="s">
        <v>333</v>
      </c>
      <c r="F109" s="24">
        <v>1</v>
      </c>
      <c r="G109" s="25" t="s">
        <v>334</v>
      </c>
      <c r="H109" s="25" t="s">
        <v>335</v>
      </c>
      <c r="I109" s="34"/>
      <c r="J109" s="29"/>
      <c r="K109" s="78"/>
      <c r="L109" s="72"/>
      <c r="M109" s="72"/>
      <c r="N109" s="71" t="s">
        <v>40</v>
      </c>
    </row>
    <row r="110" spans="1:14" x14ac:dyDescent="0.3">
      <c r="A110" s="85"/>
      <c r="B110" s="98"/>
      <c r="C110" s="74"/>
      <c r="D110" s="74"/>
      <c r="E110" s="74"/>
      <c r="F110" s="26">
        <v>2</v>
      </c>
      <c r="G110" s="27" t="s">
        <v>336</v>
      </c>
      <c r="H110" s="27"/>
      <c r="I110" s="27" t="s">
        <v>337</v>
      </c>
      <c r="J110" s="37"/>
      <c r="K110" s="78"/>
      <c r="L110" s="72"/>
      <c r="M110" s="72"/>
      <c r="N110" s="71"/>
    </row>
    <row r="111" spans="1:14" ht="27" customHeight="1" x14ac:dyDescent="0.3">
      <c r="A111" s="83">
        <v>50</v>
      </c>
      <c r="B111" s="97" t="s">
        <v>330</v>
      </c>
      <c r="C111" s="73" t="s">
        <v>338</v>
      </c>
      <c r="D111" s="73" t="s">
        <v>339</v>
      </c>
      <c r="E111" s="73" t="s">
        <v>333</v>
      </c>
      <c r="F111" s="24">
        <v>1</v>
      </c>
      <c r="G111" s="25" t="s">
        <v>334</v>
      </c>
      <c r="H111" s="25" t="s">
        <v>335</v>
      </c>
      <c r="I111" s="34"/>
      <c r="J111" s="29"/>
      <c r="K111" s="78"/>
      <c r="L111" s="72"/>
      <c r="M111" s="72"/>
      <c r="N111" s="71" t="s">
        <v>40</v>
      </c>
    </row>
    <row r="112" spans="1:14" x14ac:dyDescent="0.3">
      <c r="A112" s="85"/>
      <c r="B112" s="98"/>
      <c r="C112" s="74"/>
      <c r="D112" s="74"/>
      <c r="E112" s="74"/>
      <c r="F112" s="26">
        <v>2</v>
      </c>
      <c r="G112" s="27" t="s">
        <v>336</v>
      </c>
      <c r="H112" s="27"/>
      <c r="I112" s="27" t="s">
        <v>340</v>
      </c>
      <c r="J112" s="37"/>
      <c r="K112" s="78"/>
      <c r="L112" s="72"/>
      <c r="M112" s="72"/>
      <c r="N112" s="71"/>
    </row>
    <row r="113" spans="1:10" ht="27" customHeight="1" x14ac:dyDescent="0.3">
      <c r="A113" s="83">
        <v>51</v>
      </c>
      <c r="B113" s="91" t="s">
        <v>282</v>
      </c>
      <c r="C113" s="73" t="s">
        <v>341</v>
      </c>
      <c r="D113" s="73" t="s">
        <v>342</v>
      </c>
      <c r="E113" s="73" t="s">
        <v>343</v>
      </c>
      <c r="F113" s="24">
        <v>1</v>
      </c>
      <c r="G113" s="25" t="s">
        <v>344</v>
      </c>
      <c r="H113" s="25" t="s">
        <v>345</v>
      </c>
      <c r="I113" s="34"/>
      <c r="J113" s="29"/>
    </row>
    <row r="114" spans="1:10" ht="39.6" x14ac:dyDescent="0.3">
      <c r="A114" s="85"/>
      <c r="B114" s="92"/>
      <c r="C114" s="74"/>
      <c r="D114" s="74"/>
      <c r="E114" s="74"/>
      <c r="F114" s="26">
        <v>2</v>
      </c>
      <c r="G114" s="27" t="s">
        <v>289</v>
      </c>
      <c r="H114" s="27"/>
      <c r="I114" s="27" t="s">
        <v>346</v>
      </c>
      <c r="J114" s="37"/>
    </row>
    <row r="115" spans="1:10" ht="27" customHeight="1" x14ac:dyDescent="0.3">
      <c r="A115" s="83">
        <v>52</v>
      </c>
      <c r="B115" s="91" t="s">
        <v>282</v>
      </c>
      <c r="C115" s="73" t="s">
        <v>347</v>
      </c>
      <c r="D115" s="73" t="s">
        <v>348</v>
      </c>
      <c r="E115" s="73" t="s">
        <v>349</v>
      </c>
      <c r="F115" s="24">
        <v>1</v>
      </c>
      <c r="G115" s="25" t="s">
        <v>350</v>
      </c>
      <c r="H115" s="25"/>
      <c r="I115" s="34"/>
      <c r="J115" s="35"/>
    </row>
    <row r="116" spans="1:10" ht="26.4" x14ac:dyDescent="0.3">
      <c r="A116" s="85"/>
      <c r="B116" s="92"/>
      <c r="C116" s="74"/>
      <c r="D116" s="74"/>
      <c r="E116" s="74"/>
      <c r="F116" s="26">
        <v>2</v>
      </c>
      <c r="G116" s="27" t="s">
        <v>351</v>
      </c>
      <c r="H116" s="27"/>
      <c r="I116" s="27" t="s">
        <v>352</v>
      </c>
      <c r="J116" s="37"/>
    </row>
    <row r="117" spans="1:10" ht="27" customHeight="1" x14ac:dyDescent="0.3">
      <c r="A117" s="83">
        <v>53</v>
      </c>
      <c r="B117" s="91" t="s">
        <v>282</v>
      </c>
      <c r="C117" s="73" t="s">
        <v>353</v>
      </c>
      <c r="D117" s="73" t="s">
        <v>354</v>
      </c>
      <c r="E117" s="73" t="s">
        <v>349</v>
      </c>
      <c r="F117" s="24">
        <v>1</v>
      </c>
      <c r="G117" s="25" t="s">
        <v>355</v>
      </c>
      <c r="H117" s="25"/>
      <c r="I117" s="34"/>
      <c r="J117" s="35"/>
    </row>
    <row r="118" spans="1:10" ht="26.4" x14ac:dyDescent="0.3">
      <c r="A118" s="85"/>
      <c r="B118" s="92"/>
      <c r="C118" s="74"/>
      <c r="D118" s="74"/>
      <c r="E118" s="74"/>
      <c r="F118" s="26">
        <v>2</v>
      </c>
      <c r="G118" s="27" t="s">
        <v>351</v>
      </c>
      <c r="H118" s="27"/>
      <c r="I118" s="27" t="s">
        <v>356</v>
      </c>
      <c r="J118" s="37"/>
    </row>
    <row r="119" spans="1:10" ht="26.4" x14ac:dyDescent="0.3">
      <c r="A119" s="83">
        <v>54</v>
      </c>
      <c r="B119" s="91" t="s">
        <v>282</v>
      </c>
      <c r="C119" s="73" t="s">
        <v>357</v>
      </c>
      <c r="D119" s="73" t="s">
        <v>358</v>
      </c>
      <c r="E119" s="73" t="s">
        <v>359</v>
      </c>
      <c r="F119" s="24">
        <v>1</v>
      </c>
      <c r="G119" s="25" t="s">
        <v>360</v>
      </c>
      <c r="H119" s="25"/>
      <c r="I119" s="34"/>
      <c r="J119" s="35"/>
    </row>
    <row r="120" spans="1:10" ht="26.4" x14ac:dyDescent="0.3">
      <c r="A120" s="85"/>
      <c r="B120" s="92"/>
      <c r="C120" s="74"/>
      <c r="D120" s="74"/>
      <c r="E120" s="74"/>
      <c r="F120" s="26">
        <v>2</v>
      </c>
      <c r="G120" s="27" t="s">
        <v>361</v>
      </c>
      <c r="H120" s="27"/>
      <c r="I120" s="27" t="s">
        <v>362</v>
      </c>
      <c r="J120" s="37"/>
    </row>
    <row r="121" spans="1:10" x14ac:dyDescent="0.3">
      <c r="A121" s="83">
        <v>55</v>
      </c>
      <c r="B121" s="88" t="s">
        <v>298</v>
      </c>
      <c r="C121" s="73" t="s">
        <v>363</v>
      </c>
      <c r="D121" s="73" t="s">
        <v>364</v>
      </c>
      <c r="E121" s="73" t="s">
        <v>236</v>
      </c>
      <c r="F121" s="24">
        <v>1</v>
      </c>
      <c r="G121" s="25" t="s">
        <v>365</v>
      </c>
      <c r="H121" s="25" t="s">
        <v>366</v>
      </c>
      <c r="I121" s="34"/>
      <c r="J121" s="35"/>
    </row>
    <row r="122" spans="1:10" ht="26.4" x14ac:dyDescent="0.3">
      <c r="A122" s="85"/>
      <c r="B122" s="89"/>
      <c r="C122" s="74"/>
      <c r="D122" s="74"/>
      <c r="E122" s="74"/>
      <c r="F122" s="26">
        <v>2</v>
      </c>
      <c r="G122" s="27" t="s">
        <v>289</v>
      </c>
      <c r="H122" s="27"/>
      <c r="I122" s="27" t="s">
        <v>367</v>
      </c>
      <c r="J122" s="37"/>
    </row>
    <row r="123" spans="1:10" x14ac:dyDescent="0.3">
      <c r="A123" s="83">
        <v>56</v>
      </c>
      <c r="B123" s="91" t="s">
        <v>282</v>
      </c>
      <c r="C123" s="73" t="s">
        <v>368</v>
      </c>
      <c r="D123" s="73" t="s">
        <v>369</v>
      </c>
      <c r="E123" s="73" t="s">
        <v>333</v>
      </c>
      <c r="F123" s="24">
        <v>1</v>
      </c>
      <c r="G123" s="25" t="s">
        <v>370</v>
      </c>
      <c r="H123" s="25"/>
      <c r="I123" s="34"/>
      <c r="J123" s="29"/>
    </row>
    <row r="124" spans="1:10" ht="39.6" x14ac:dyDescent="0.3">
      <c r="A124" s="85"/>
      <c r="B124" s="92"/>
      <c r="C124" s="74"/>
      <c r="D124" s="74"/>
      <c r="E124" s="74"/>
      <c r="F124" s="26">
        <v>2</v>
      </c>
      <c r="G124" s="27" t="s">
        <v>371</v>
      </c>
      <c r="H124" s="27"/>
      <c r="I124" s="27" t="s">
        <v>372</v>
      </c>
      <c r="J124" s="37"/>
    </row>
    <row r="125" spans="1:10" ht="26.4" x14ac:dyDescent="0.3">
      <c r="A125" s="83">
        <v>57</v>
      </c>
      <c r="B125" s="91" t="s">
        <v>282</v>
      </c>
      <c r="C125" s="73" t="s">
        <v>373</v>
      </c>
      <c r="D125" s="73" t="s">
        <v>374</v>
      </c>
      <c r="E125" s="73" t="s">
        <v>375</v>
      </c>
      <c r="F125" s="24">
        <v>1</v>
      </c>
      <c r="G125" s="25" t="s">
        <v>376</v>
      </c>
      <c r="H125" s="25"/>
      <c r="I125" s="34"/>
      <c r="J125" s="29"/>
    </row>
    <row r="126" spans="1:10" ht="39.6" x14ac:dyDescent="0.3">
      <c r="A126" s="85"/>
      <c r="B126" s="92"/>
      <c r="C126" s="74"/>
      <c r="D126" s="74"/>
      <c r="E126" s="74"/>
      <c r="F126" s="26">
        <v>2</v>
      </c>
      <c r="G126" s="27" t="s">
        <v>377</v>
      </c>
      <c r="H126" s="27"/>
      <c r="I126" s="27" t="s">
        <v>378</v>
      </c>
      <c r="J126" s="37"/>
    </row>
    <row r="127" spans="1:10" ht="27" customHeight="1" x14ac:dyDescent="0.3">
      <c r="A127" s="83">
        <v>58</v>
      </c>
      <c r="B127" s="91" t="s">
        <v>282</v>
      </c>
      <c r="C127" s="73" t="s">
        <v>379</v>
      </c>
      <c r="D127" s="73" t="s">
        <v>380</v>
      </c>
      <c r="E127" s="73" t="s">
        <v>236</v>
      </c>
      <c r="F127" s="24">
        <v>1</v>
      </c>
      <c r="G127" s="25" t="s">
        <v>381</v>
      </c>
      <c r="H127" s="25" t="s">
        <v>382</v>
      </c>
      <c r="I127" s="34"/>
      <c r="J127" s="29"/>
    </row>
    <row r="128" spans="1:10" ht="26.4" x14ac:dyDescent="0.3">
      <c r="A128" s="85"/>
      <c r="B128" s="92"/>
      <c r="C128" s="74"/>
      <c r="D128" s="74"/>
      <c r="E128" s="74"/>
      <c r="F128" s="26">
        <v>2</v>
      </c>
      <c r="G128" s="27" t="s">
        <v>289</v>
      </c>
      <c r="H128" s="27"/>
      <c r="I128" s="27" t="s">
        <v>383</v>
      </c>
      <c r="J128" s="37"/>
    </row>
    <row r="129" spans="1:14" ht="39.6" x14ac:dyDescent="0.3">
      <c r="A129" s="59">
        <v>59</v>
      </c>
      <c r="B129" s="61" t="s">
        <v>282</v>
      </c>
      <c r="C129" s="60" t="s">
        <v>384</v>
      </c>
      <c r="D129" s="25" t="s">
        <v>385</v>
      </c>
      <c r="E129" s="60" t="s">
        <v>386</v>
      </c>
      <c r="F129" s="24">
        <v>1</v>
      </c>
      <c r="G129" s="25" t="s">
        <v>387</v>
      </c>
      <c r="H129" s="25"/>
      <c r="I129" s="25" t="s">
        <v>388</v>
      </c>
      <c r="J129" s="29"/>
    </row>
    <row r="130" spans="1:14" ht="27" customHeight="1" x14ac:dyDescent="0.3">
      <c r="A130" s="101">
        <v>60</v>
      </c>
      <c r="B130" s="124" t="s">
        <v>282</v>
      </c>
      <c r="C130" s="90" t="s">
        <v>389</v>
      </c>
      <c r="D130" s="90" t="s">
        <v>390</v>
      </c>
      <c r="E130" s="90" t="s">
        <v>391</v>
      </c>
      <c r="F130" s="26">
        <v>1</v>
      </c>
      <c r="G130" s="27" t="s">
        <v>392</v>
      </c>
      <c r="H130" s="27" t="s">
        <v>287</v>
      </c>
      <c r="I130" s="36"/>
      <c r="J130" s="38"/>
      <c r="K130" s="78"/>
      <c r="L130" s="72"/>
      <c r="M130" s="72"/>
      <c r="N130" s="71" t="s">
        <v>40</v>
      </c>
    </row>
    <row r="131" spans="1:14" ht="26.4" x14ac:dyDescent="0.3">
      <c r="A131" s="132"/>
      <c r="B131" s="131"/>
      <c r="C131" s="111"/>
      <c r="D131" s="111"/>
      <c r="E131" s="111"/>
      <c r="F131" s="31">
        <v>2</v>
      </c>
      <c r="G131" s="32" t="s">
        <v>289</v>
      </c>
      <c r="H131" s="32"/>
      <c r="I131" s="32" t="s">
        <v>393</v>
      </c>
      <c r="J131" s="54"/>
      <c r="K131" s="155"/>
      <c r="L131" s="154"/>
      <c r="M131" s="154"/>
      <c r="N131" s="71"/>
    </row>
    <row r="132" spans="1:14" x14ac:dyDescent="0.3">
      <c r="A132" s="100" t="s">
        <v>394</v>
      </c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</row>
    <row r="133" spans="1:14" ht="52.8" x14ac:dyDescent="0.3">
      <c r="A133" s="99">
        <v>61</v>
      </c>
      <c r="B133" s="104" t="s">
        <v>395</v>
      </c>
      <c r="C133" s="104" t="s">
        <v>396</v>
      </c>
      <c r="D133" s="104" t="s">
        <v>397</v>
      </c>
      <c r="E133" s="102" t="s">
        <v>398</v>
      </c>
      <c r="F133" s="22">
        <v>1</v>
      </c>
      <c r="G133" s="21" t="s">
        <v>399</v>
      </c>
      <c r="H133" s="21" t="s">
        <v>400</v>
      </c>
      <c r="I133" s="33"/>
      <c r="J133" s="23"/>
      <c r="K133" s="78"/>
      <c r="L133" s="72"/>
      <c r="M133" s="72"/>
      <c r="N133" s="71" t="s">
        <v>40</v>
      </c>
    </row>
    <row r="134" spans="1:14" ht="26.4" x14ac:dyDescent="0.3">
      <c r="A134" s="80"/>
      <c r="B134" s="82"/>
      <c r="C134" s="82"/>
      <c r="D134" s="82"/>
      <c r="E134" s="112"/>
      <c r="F134" s="24">
        <v>2</v>
      </c>
      <c r="G134" s="25" t="s">
        <v>401</v>
      </c>
      <c r="H134" s="25" t="s">
        <v>402</v>
      </c>
      <c r="I134" s="34"/>
      <c r="J134" s="35"/>
      <c r="K134" s="78"/>
      <c r="L134" s="72"/>
      <c r="M134" s="72"/>
      <c r="N134" s="71"/>
    </row>
    <row r="135" spans="1:14" ht="39.6" x14ac:dyDescent="0.3">
      <c r="A135" s="81"/>
      <c r="B135" s="69"/>
      <c r="C135" s="69"/>
      <c r="D135" s="69"/>
      <c r="E135" s="103"/>
      <c r="F135" s="26">
        <v>3</v>
      </c>
      <c r="G135" s="27" t="s">
        <v>403</v>
      </c>
      <c r="H135" s="27"/>
      <c r="I135" s="27" t="s">
        <v>404</v>
      </c>
      <c r="J135" s="37"/>
      <c r="K135" s="78"/>
      <c r="L135" s="72"/>
      <c r="M135" s="72"/>
      <c r="N135" s="71"/>
    </row>
    <row r="136" spans="1:14" ht="66" x14ac:dyDescent="0.3">
      <c r="A136" s="83">
        <v>62</v>
      </c>
      <c r="B136" s="73" t="s">
        <v>405</v>
      </c>
      <c r="C136" s="73" t="s">
        <v>406</v>
      </c>
      <c r="D136" s="73" t="s">
        <v>407</v>
      </c>
      <c r="E136" s="113" t="s">
        <v>408</v>
      </c>
      <c r="F136" s="24">
        <v>1</v>
      </c>
      <c r="G136" s="25" t="s">
        <v>409</v>
      </c>
      <c r="H136" s="25" t="s">
        <v>410</v>
      </c>
      <c r="I136" s="34"/>
      <c r="J136" s="29"/>
      <c r="K136" s="78"/>
      <c r="L136" s="72"/>
      <c r="M136" s="72"/>
      <c r="N136" s="71" t="s">
        <v>40</v>
      </c>
    </row>
    <row r="137" spans="1:14" x14ac:dyDescent="0.3">
      <c r="A137" s="85"/>
      <c r="B137" s="74"/>
      <c r="C137" s="74"/>
      <c r="D137" s="74"/>
      <c r="E137" s="114"/>
      <c r="F137" s="26">
        <v>2</v>
      </c>
      <c r="G137" s="27" t="s">
        <v>411</v>
      </c>
      <c r="H137" s="27"/>
      <c r="I137" s="27" t="s">
        <v>412</v>
      </c>
      <c r="J137" s="37"/>
      <c r="K137" s="78"/>
      <c r="L137" s="72"/>
      <c r="M137" s="72"/>
      <c r="N137" s="71"/>
    </row>
    <row r="138" spans="1:14" ht="66" x14ac:dyDescent="0.3">
      <c r="A138" s="83">
        <v>63</v>
      </c>
      <c r="B138" s="73" t="s">
        <v>405</v>
      </c>
      <c r="C138" s="73" t="s">
        <v>413</v>
      </c>
      <c r="D138" s="73" t="s">
        <v>414</v>
      </c>
      <c r="E138" s="113" t="s">
        <v>408</v>
      </c>
      <c r="F138" s="24">
        <v>1</v>
      </c>
      <c r="G138" s="25" t="s">
        <v>414</v>
      </c>
      <c r="H138" s="25" t="s">
        <v>415</v>
      </c>
      <c r="I138" s="34"/>
      <c r="J138" s="35"/>
    </row>
    <row r="139" spans="1:14" x14ac:dyDescent="0.3">
      <c r="A139" s="85"/>
      <c r="B139" s="74"/>
      <c r="C139" s="74"/>
      <c r="D139" s="74"/>
      <c r="E139" s="114"/>
      <c r="F139" s="26">
        <v>2</v>
      </c>
      <c r="G139" s="27" t="s">
        <v>411</v>
      </c>
      <c r="H139" s="27"/>
      <c r="I139" s="27" t="s">
        <v>416</v>
      </c>
      <c r="J139" s="37"/>
    </row>
    <row r="140" spans="1:14" ht="79.2" x14ac:dyDescent="0.3">
      <c r="A140" s="83">
        <v>64</v>
      </c>
      <c r="B140" s="73" t="s">
        <v>405</v>
      </c>
      <c r="C140" s="73" t="s">
        <v>417</v>
      </c>
      <c r="D140" s="73" t="s">
        <v>418</v>
      </c>
      <c r="E140" s="113" t="s">
        <v>408</v>
      </c>
      <c r="F140" s="24">
        <v>1</v>
      </c>
      <c r="G140" s="25" t="s">
        <v>418</v>
      </c>
      <c r="H140" s="25" t="s">
        <v>419</v>
      </c>
      <c r="I140" s="34"/>
      <c r="J140" s="35"/>
    </row>
    <row r="141" spans="1:14" x14ac:dyDescent="0.3">
      <c r="A141" s="85"/>
      <c r="B141" s="74"/>
      <c r="C141" s="74"/>
      <c r="D141" s="74"/>
      <c r="E141" s="114"/>
      <c r="F141" s="26">
        <v>2</v>
      </c>
      <c r="G141" s="27" t="s">
        <v>411</v>
      </c>
      <c r="H141" s="27"/>
      <c r="I141" s="27" t="s">
        <v>420</v>
      </c>
      <c r="J141" s="37"/>
    </row>
    <row r="142" spans="1:14" ht="79.2" x14ac:dyDescent="0.3">
      <c r="A142" s="83">
        <v>65</v>
      </c>
      <c r="B142" s="73" t="s">
        <v>405</v>
      </c>
      <c r="C142" s="73" t="s">
        <v>421</v>
      </c>
      <c r="D142" s="73" t="s">
        <v>422</v>
      </c>
      <c r="E142" s="113" t="s">
        <v>408</v>
      </c>
      <c r="F142" s="24">
        <v>1</v>
      </c>
      <c r="G142" s="25" t="s">
        <v>422</v>
      </c>
      <c r="H142" s="25" t="s">
        <v>423</v>
      </c>
      <c r="I142" s="34"/>
      <c r="J142" s="35"/>
    </row>
    <row r="143" spans="1:14" x14ac:dyDescent="0.3">
      <c r="A143" s="85"/>
      <c r="B143" s="74"/>
      <c r="C143" s="74"/>
      <c r="D143" s="74"/>
      <c r="E143" s="114"/>
      <c r="F143" s="26">
        <v>2</v>
      </c>
      <c r="G143" s="27" t="s">
        <v>411</v>
      </c>
      <c r="H143" s="27"/>
      <c r="I143" s="27" t="s">
        <v>424</v>
      </c>
      <c r="J143" s="37"/>
    </row>
    <row r="144" spans="1:14" ht="66" x14ac:dyDescent="0.3">
      <c r="A144" s="83">
        <v>66</v>
      </c>
      <c r="B144" s="73" t="s">
        <v>405</v>
      </c>
      <c r="C144" s="73" t="s">
        <v>425</v>
      </c>
      <c r="D144" s="73" t="s">
        <v>426</v>
      </c>
      <c r="E144" s="113" t="s">
        <v>408</v>
      </c>
      <c r="F144" s="24">
        <v>1</v>
      </c>
      <c r="G144" s="25" t="s">
        <v>426</v>
      </c>
      <c r="H144" s="25" t="s">
        <v>427</v>
      </c>
      <c r="I144" s="34"/>
      <c r="J144" s="35"/>
    </row>
    <row r="145" spans="1:14" x14ac:dyDescent="0.3">
      <c r="A145" s="85"/>
      <c r="B145" s="74"/>
      <c r="C145" s="74"/>
      <c r="D145" s="74"/>
      <c r="E145" s="114"/>
      <c r="F145" s="26">
        <v>2</v>
      </c>
      <c r="G145" s="27" t="s">
        <v>411</v>
      </c>
      <c r="H145" s="27"/>
      <c r="I145" s="27" t="s">
        <v>428</v>
      </c>
      <c r="J145" s="37"/>
    </row>
    <row r="146" spans="1:14" ht="66" x14ac:dyDescent="0.3">
      <c r="A146" s="83">
        <v>67</v>
      </c>
      <c r="B146" s="73" t="s">
        <v>429</v>
      </c>
      <c r="C146" s="73" t="s">
        <v>430</v>
      </c>
      <c r="D146" s="73" t="s">
        <v>431</v>
      </c>
      <c r="E146" s="113" t="s">
        <v>408</v>
      </c>
      <c r="F146" s="24">
        <v>1</v>
      </c>
      <c r="G146" s="25" t="s">
        <v>432</v>
      </c>
      <c r="H146" s="25" t="s">
        <v>433</v>
      </c>
      <c r="I146" s="34"/>
      <c r="J146" s="35"/>
    </row>
    <row r="147" spans="1:14" ht="26.4" x14ac:dyDescent="0.3">
      <c r="A147" s="85"/>
      <c r="B147" s="74"/>
      <c r="C147" s="74"/>
      <c r="D147" s="74"/>
      <c r="E147" s="114"/>
      <c r="F147" s="26">
        <v>2</v>
      </c>
      <c r="G147" s="27" t="s">
        <v>411</v>
      </c>
      <c r="H147" s="27"/>
      <c r="I147" s="27" t="s">
        <v>78</v>
      </c>
      <c r="J147" s="37"/>
    </row>
    <row r="148" spans="1:14" ht="66" x14ac:dyDescent="0.3">
      <c r="A148" s="83">
        <v>68</v>
      </c>
      <c r="B148" s="73" t="s">
        <v>405</v>
      </c>
      <c r="C148" s="73" t="s">
        <v>434</v>
      </c>
      <c r="D148" s="73" t="s">
        <v>435</v>
      </c>
      <c r="E148" s="113" t="s">
        <v>408</v>
      </c>
      <c r="F148" s="24">
        <v>1</v>
      </c>
      <c r="G148" s="25" t="s">
        <v>435</v>
      </c>
      <c r="H148" s="25" t="s">
        <v>436</v>
      </c>
      <c r="I148" s="34"/>
      <c r="J148" s="35"/>
    </row>
    <row r="149" spans="1:14" ht="26.4" x14ac:dyDescent="0.3">
      <c r="A149" s="85"/>
      <c r="B149" s="74"/>
      <c r="C149" s="74"/>
      <c r="D149" s="74"/>
      <c r="E149" s="114"/>
      <c r="F149" s="26">
        <v>2</v>
      </c>
      <c r="G149" s="27" t="s">
        <v>411</v>
      </c>
      <c r="H149" s="27"/>
      <c r="I149" s="27" t="s">
        <v>437</v>
      </c>
      <c r="J149" s="37"/>
    </row>
    <row r="150" spans="1:14" ht="66" x14ac:dyDescent="0.3">
      <c r="A150" s="83">
        <v>69</v>
      </c>
      <c r="B150" s="73" t="s">
        <v>429</v>
      </c>
      <c r="C150" s="73" t="s">
        <v>438</v>
      </c>
      <c r="D150" s="73" t="s">
        <v>439</v>
      </c>
      <c r="E150" s="113" t="s">
        <v>408</v>
      </c>
      <c r="F150" s="24">
        <v>1</v>
      </c>
      <c r="G150" s="25" t="s">
        <v>440</v>
      </c>
      <c r="H150" s="25" t="s">
        <v>441</v>
      </c>
      <c r="I150" s="34"/>
      <c r="J150" s="35"/>
    </row>
    <row r="151" spans="1:14" ht="26.4" x14ac:dyDescent="0.3">
      <c r="A151" s="85"/>
      <c r="B151" s="74"/>
      <c r="C151" s="74"/>
      <c r="D151" s="74"/>
      <c r="E151" s="114"/>
      <c r="F151" s="26">
        <v>2</v>
      </c>
      <c r="G151" s="27" t="s">
        <v>411</v>
      </c>
      <c r="H151" s="27"/>
      <c r="I151" s="27" t="s">
        <v>442</v>
      </c>
      <c r="J151" s="37"/>
    </row>
    <row r="152" spans="1:14" ht="66" x14ac:dyDescent="0.3">
      <c r="A152" s="83">
        <v>70</v>
      </c>
      <c r="B152" s="73" t="s">
        <v>405</v>
      </c>
      <c r="C152" s="73" t="s">
        <v>443</v>
      </c>
      <c r="D152" s="73" t="s">
        <v>444</v>
      </c>
      <c r="E152" s="113" t="s">
        <v>408</v>
      </c>
      <c r="F152" s="24">
        <v>1</v>
      </c>
      <c r="G152" s="25" t="s">
        <v>444</v>
      </c>
      <c r="H152" s="25" t="s">
        <v>445</v>
      </c>
      <c r="I152" s="34"/>
      <c r="J152" s="35"/>
    </row>
    <row r="153" spans="1:14" ht="26.4" x14ac:dyDescent="0.3">
      <c r="A153" s="85"/>
      <c r="B153" s="74"/>
      <c r="C153" s="74"/>
      <c r="D153" s="74"/>
      <c r="E153" s="114"/>
      <c r="F153" s="26">
        <v>2</v>
      </c>
      <c r="G153" s="27" t="s">
        <v>411</v>
      </c>
      <c r="H153" s="27"/>
      <c r="I153" s="27" t="s">
        <v>446</v>
      </c>
      <c r="J153" s="37"/>
    </row>
    <row r="154" spans="1:14" ht="66" x14ac:dyDescent="0.3">
      <c r="A154" s="83">
        <v>71</v>
      </c>
      <c r="B154" s="73" t="s">
        <v>447</v>
      </c>
      <c r="C154" s="73" t="s">
        <v>448</v>
      </c>
      <c r="D154" s="73" t="s">
        <v>449</v>
      </c>
      <c r="E154" s="113" t="s">
        <v>408</v>
      </c>
      <c r="F154" s="24">
        <v>1</v>
      </c>
      <c r="G154" s="25" t="s">
        <v>450</v>
      </c>
      <c r="H154" s="25" t="s">
        <v>451</v>
      </c>
      <c r="I154" s="34"/>
      <c r="J154" s="35"/>
      <c r="K154" s="78"/>
      <c r="L154" s="72"/>
      <c r="M154" s="72"/>
      <c r="N154" s="71" t="s">
        <v>40</v>
      </c>
    </row>
    <row r="155" spans="1:14" ht="26.4" x14ac:dyDescent="0.3">
      <c r="A155" s="85"/>
      <c r="B155" s="74"/>
      <c r="C155" s="74"/>
      <c r="D155" s="74"/>
      <c r="E155" s="114"/>
      <c r="F155" s="26">
        <v>2</v>
      </c>
      <c r="G155" s="27" t="s">
        <v>411</v>
      </c>
      <c r="H155" s="27"/>
      <c r="I155" s="27" t="s">
        <v>452</v>
      </c>
      <c r="J155" s="37"/>
      <c r="K155" s="78"/>
      <c r="L155" s="72"/>
      <c r="M155" s="72"/>
      <c r="N155" s="71"/>
    </row>
    <row r="156" spans="1:14" ht="66" x14ac:dyDescent="0.3">
      <c r="A156" s="83">
        <v>72</v>
      </c>
      <c r="B156" s="73" t="s">
        <v>405</v>
      </c>
      <c r="C156" s="73" t="s">
        <v>453</v>
      </c>
      <c r="D156" s="73" t="s">
        <v>454</v>
      </c>
      <c r="E156" s="113" t="s">
        <v>408</v>
      </c>
      <c r="F156" s="24">
        <v>1</v>
      </c>
      <c r="G156" s="25" t="s">
        <v>454</v>
      </c>
      <c r="H156" s="25" t="s">
        <v>455</v>
      </c>
      <c r="I156" s="34"/>
      <c r="J156" s="35"/>
    </row>
    <row r="157" spans="1:14" ht="26.4" x14ac:dyDescent="0.3">
      <c r="A157" s="85"/>
      <c r="B157" s="74"/>
      <c r="C157" s="74"/>
      <c r="D157" s="74"/>
      <c r="E157" s="114"/>
      <c r="F157" s="26">
        <v>2</v>
      </c>
      <c r="G157" s="27" t="s">
        <v>411</v>
      </c>
      <c r="H157" s="27"/>
      <c r="I157" s="27" t="s">
        <v>456</v>
      </c>
      <c r="J157" s="37"/>
    </row>
    <row r="158" spans="1:14" ht="79.2" x14ac:dyDescent="0.3">
      <c r="A158" s="83">
        <v>73</v>
      </c>
      <c r="B158" s="73" t="s">
        <v>405</v>
      </c>
      <c r="C158" s="73" t="s">
        <v>457</v>
      </c>
      <c r="D158" s="73" t="s">
        <v>458</v>
      </c>
      <c r="E158" s="113" t="s">
        <v>408</v>
      </c>
      <c r="F158" s="24">
        <v>1</v>
      </c>
      <c r="G158" s="25" t="s">
        <v>458</v>
      </c>
      <c r="H158" s="25" t="s">
        <v>459</v>
      </c>
      <c r="I158" s="34"/>
      <c r="J158" s="35"/>
      <c r="K158" s="78"/>
      <c r="L158" s="72"/>
      <c r="M158" s="72"/>
      <c r="N158" s="71" t="s">
        <v>40</v>
      </c>
    </row>
    <row r="159" spans="1:14" ht="26.4" x14ac:dyDescent="0.3">
      <c r="A159" s="85"/>
      <c r="B159" s="74"/>
      <c r="C159" s="74"/>
      <c r="D159" s="74"/>
      <c r="E159" s="114"/>
      <c r="F159" s="26">
        <v>2</v>
      </c>
      <c r="G159" s="27" t="s">
        <v>411</v>
      </c>
      <c r="H159" s="27"/>
      <c r="I159" s="27" t="s">
        <v>460</v>
      </c>
      <c r="J159" s="37"/>
      <c r="K159" s="78"/>
      <c r="L159" s="72"/>
      <c r="M159" s="72"/>
      <c r="N159" s="71"/>
    </row>
    <row r="160" spans="1:14" ht="66" x14ac:dyDescent="0.3">
      <c r="A160" s="83">
        <v>74</v>
      </c>
      <c r="B160" s="73" t="s">
        <v>461</v>
      </c>
      <c r="C160" s="73" t="s">
        <v>462</v>
      </c>
      <c r="D160" s="73" t="s">
        <v>463</v>
      </c>
      <c r="E160" s="113" t="s">
        <v>408</v>
      </c>
      <c r="F160" s="24">
        <v>1</v>
      </c>
      <c r="G160" s="25" t="s">
        <v>301</v>
      </c>
      <c r="H160" s="25" t="s">
        <v>464</v>
      </c>
      <c r="I160" s="34"/>
      <c r="J160" s="35"/>
    </row>
    <row r="161" spans="1:14" ht="26.4" x14ac:dyDescent="0.3">
      <c r="A161" s="85"/>
      <c r="B161" s="74"/>
      <c r="C161" s="74"/>
      <c r="D161" s="74"/>
      <c r="E161" s="114"/>
      <c r="F161" s="26">
        <v>2</v>
      </c>
      <c r="G161" s="27" t="s">
        <v>411</v>
      </c>
      <c r="H161" s="27"/>
      <c r="I161" s="27" t="s">
        <v>465</v>
      </c>
      <c r="J161" s="37"/>
    </row>
    <row r="162" spans="1:14" ht="66" x14ac:dyDescent="0.3">
      <c r="A162" s="83">
        <v>75</v>
      </c>
      <c r="B162" s="73" t="s">
        <v>461</v>
      </c>
      <c r="C162" s="73" t="s">
        <v>466</v>
      </c>
      <c r="D162" s="73" t="s">
        <v>467</v>
      </c>
      <c r="E162" s="113" t="s">
        <v>408</v>
      </c>
      <c r="F162" s="24">
        <v>1</v>
      </c>
      <c r="G162" s="25" t="s">
        <v>306</v>
      </c>
      <c r="H162" s="25" t="s">
        <v>468</v>
      </c>
      <c r="I162" s="34"/>
      <c r="J162" s="35"/>
    </row>
    <row r="163" spans="1:14" ht="26.4" x14ac:dyDescent="0.3">
      <c r="A163" s="85"/>
      <c r="B163" s="74"/>
      <c r="C163" s="74"/>
      <c r="D163" s="74"/>
      <c r="E163" s="114"/>
      <c r="F163" s="26">
        <v>2</v>
      </c>
      <c r="G163" s="27" t="s">
        <v>411</v>
      </c>
      <c r="H163" s="27"/>
      <c r="I163" s="27" t="s">
        <v>465</v>
      </c>
      <c r="J163" s="37"/>
    </row>
    <row r="164" spans="1:14" ht="79.2" x14ac:dyDescent="0.3">
      <c r="A164" s="83">
        <v>76</v>
      </c>
      <c r="B164" s="73" t="s">
        <v>461</v>
      </c>
      <c r="C164" s="73" t="s">
        <v>469</v>
      </c>
      <c r="D164" s="73" t="s">
        <v>470</v>
      </c>
      <c r="E164" s="113" t="s">
        <v>408</v>
      </c>
      <c r="F164" s="24">
        <v>1</v>
      </c>
      <c r="G164" s="25" t="s">
        <v>310</v>
      </c>
      <c r="H164" s="25" t="s">
        <v>471</v>
      </c>
      <c r="I164" s="34"/>
      <c r="J164" s="35"/>
    </row>
    <row r="165" spans="1:14" ht="26.4" x14ac:dyDescent="0.3">
      <c r="A165" s="127"/>
      <c r="B165" s="119"/>
      <c r="C165" s="119"/>
      <c r="D165" s="119"/>
      <c r="E165" s="143"/>
      <c r="F165" s="41">
        <v>2</v>
      </c>
      <c r="G165" s="40" t="s">
        <v>411</v>
      </c>
      <c r="H165" s="40"/>
      <c r="I165" s="40" t="s">
        <v>472</v>
      </c>
      <c r="J165" s="42"/>
    </row>
    <row r="166" spans="1:14" ht="27" customHeight="1" x14ac:dyDescent="0.3">
      <c r="A166" s="142">
        <v>77</v>
      </c>
      <c r="B166" s="108" t="s">
        <v>395</v>
      </c>
      <c r="C166" s="107" t="s">
        <v>473</v>
      </c>
      <c r="D166" s="107" t="s">
        <v>474</v>
      </c>
      <c r="E166" s="115" t="s">
        <v>475</v>
      </c>
      <c r="F166" s="24">
        <v>1</v>
      </c>
      <c r="G166" s="25" t="s">
        <v>476</v>
      </c>
      <c r="H166" s="25" t="s">
        <v>335</v>
      </c>
      <c r="I166" s="34"/>
      <c r="J166" s="29"/>
      <c r="K166" s="78"/>
      <c r="L166" s="72"/>
      <c r="M166" s="72"/>
      <c r="N166" s="71" t="s">
        <v>40</v>
      </c>
    </row>
    <row r="167" spans="1:14" ht="26.4" x14ac:dyDescent="0.3">
      <c r="A167" s="85"/>
      <c r="B167" s="92"/>
      <c r="C167" s="74"/>
      <c r="D167" s="74"/>
      <c r="E167" s="116"/>
      <c r="F167" s="26">
        <v>2</v>
      </c>
      <c r="G167" s="27" t="s">
        <v>477</v>
      </c>
      <c r="H167" s="27"/>
      <c r="I167" s="27" t="s">
        <v>478</v>
      </c>
      <c r="J167" s="37"/>
      <c r="K167" s="78"/>
      <c r="L167" s="72"/>
      <c r="M167" s="72"/>
      <c r="N167" s="71"/>
    </row>
    <row r="168" spans="1:14" ht="27" customHeight="1" x14ac:dyDescent="0.3">
      <c r="A168" s="83">
        <v>78</v>
      </c>
      <c r="B168" s="95" t="s">
        <v>479</v>
      </c>
      <c r="C168" s="73" t="s">
        <v>480</v>
      </c>
      <c r="D168" s="73" t="s">
        <v>481</v>
      </c>
      <c r="E168" s="117" t="s">
        <v>482</v>
      </c>
      <c r="F168" s="24">
        <v>1</v>
      </c>
      <c r="G168" s="25" t="s">
        <v>483</v>
      </c>
      <c r="H168" s="25"/>
      <c r="I168" s="34"/>
      <c r="J168" s="29"/>
      <c r="K168" s="78"/>
      <c r="L168" s="72"/>
      <c r="M168" s="72"/>
      <c r="N168" s="71" t="s">
        <v>40</v>
      </c>
    </row>
    <row r="169" spans="1:14" ht="26.4" x14ac:dyDescent="0.3">
      <c r="A169" s="85"/>
      <c r="B169" s="96"/>
      <c r="C169" s="74"/>
      <c r="D169" s="74"/>
      <c r="E169" s="118"/>
      <c r="F169" s="26">
        <v>2</v>
      </c>
      <c r="G169" s="27" t="s">
        <v>484</v>
      </c>
      <c r="H169" s="27"/>
      <c r="I169" s="27" t="s">
        <v>485</v>
      </c>
      <c r="J169" s="37"/>
      <c r="K169" s="78"/>
      <c r="L169" s="72"/>
      <c r="M169" s="72"/>
      <c r="N169" s="71"/>
    </row>
    <row r="170" spans="1:14" ht="26.4" x14ac:dyDescent="0.3">
      <c r="A170" s="83">
        <v>79</v>
      </c>
      <c r="B170" s="95" t="s">
        <v>479</v>
      </c>
      <c r="C170" s="73" t="s">
        <v>486</v>
      </c>
      <c r="D170" s="73" t="s">
        <v>487</v>
      </c>
      <c r="E170" s="120" t="s">
        <v>488</v>
      </c>
      <c r="F170" s="24">
        <v>1</v>
      </c>
      <c r="G170" s="25" t="s">
        <v>489</v>
      </c>
      <c r="H170" s="25"/>
      <c r="I170" s="34"/>
      <c r="J170" s="35"/>
    </row>
    <row r="171" spans="1:14" ht="39.6" x14ac:dyDescent="0.3">
      <c r="A171" s="85"/>
      <c r="B171" s="96"/>
      <c r="C171" s="74"/>
      <c r="D171" s="74"/>
      <c r="E171" s="121"/>
      <c r="F171" s="26">
        <v>2</v>
      </c>
      <c r="G171" s="27" t="s">
        <v>351</v>
      </c>
      <c r="H171" s="27"/>
      <c r="I171" s="27" t="s">
        <v>490</v>
      </c>
      <c r="J171" s="37"/>
    </row>
    <row r="172" spans="1:14" ht="26.4" x14ac:dyDescent="0.3">
      <c r="A172" s="83">
        <v>80</v>
      </c>
      <c r="B172" s="91" t="s">
        <v>395</v>
      </c>
      <c r="C172" s="73" t="s">
        <v>491</v>
      </c>
      <c r="D172" s="73" t="s">
        <v>492</v>
      </c>
      <c r="E172" s="125" t="s">
        <v>408</v>
      </c>
      <c r="F172" s="24">
        <v>1</v>
      </c>
      <c r="G172" s="25" t="s">
        <v>493</v>
      </c>
      <c r="H172" s="25" t="s">
        <v>494</v>
      </c>
      <c r="I172" s="34"/>
      <c r="J172" s="29"/>
    </row>
    <row r="173" spans="1:14" ht="26.4" x14ac:dyDescent="0.3">
      <c r="A173" s="127"/>
      <c r="B173" s="128"/>
      <c r="C173" s="119"/>
      <c r="D173" s="119"/>
      <c r="E173" s="126"/>
      <c r="F173" s="41">
        <v>2</v>
      </c>
      <c r="G173" s="40" t="s">
        <v>477</v>
      </c>
      <c r="H173" s="40"/>
      <c r="I173" s="40" t="s">
        <v>495</v>
      </c>
      <c r="J173" s="42"/>
    </row>
    <row r="174" spans="1:14" x14ac:dyDescent="0.3">
      <c r="A174" s="109" t="s">
        <v>496</v>
      </c>
      <c r="B174" s="109"/>
      <c r="C174" s="109"/>
      <c r="D174" s="109"/>
      <c r="E174" s="109"/>
      <c r="F174" s="109"/>
      <c r="G174" s="109"/>
      <c r="H174" s="109"/>
      <c r="I174" s="109"/>
      <c r="J174" s="109"/>
      <c r="K174" s="109"/>
      <c r="L174" s="109"/>
      <c r="M174" s="109"/>
      <c r="N174" s="109"/>
    </row>
    <row r="175" spans="1:14" ht="40.200000000000003" customHeight="1" x14ac:dyDescent="0.3">
      <c r="A175" s="99">
        <v>81</v>
      </c>
      <c r="B175" s="102" t="s">
        <v>497</v>
      </c>
      <c r="C175" s="104" t="s">
        <v>498</v>
      </c>
      <c r="D175" s="104" t="s">
        <v>499</v>
      </c>
      <c r="E175" s="104" t="s">
        <v>500</v>
      </c>
      <c r="F175" s="22">
        <v>1</v>
      </c>
      <c r="G175" s="21" t="s">
        <v>501</v>
      </c>
      <c r="H175" s="21" t="s">
        <v>502</v>
      </c>
      <c r="I175" s="33"/>
      <c r="J175" s="23"/>
      <c r="K175" s="153"/>
      <c r="L175" s="152"/>
      <c r="M175" s="152"/>
      <c r="N175" s="110" t="s">
        <v>40</v>
      </c>
    </row>
    <row r="176" spans="1:14" ht="26.4" x14ac:dyDescent="0.3">
      <c r="A176" s="81"/>
      <c r="B176" s="103"/>
      <c r="C176" s="69"/>
      <c r="D176" s="69"/>
      <c r="E176" s="69"/>
      <c r="F176" s="24">
        <v>2</v>
      </c>
      <c r="G176" s="25" t="s">
        <v>503</v>
      </c>
      <c r="H176" s="25"/>
      <c r="I176" s="25" t="s">
        <v>504</v>
      </c>
      <c r="J176" s="35"/>
      <c r="K176" s="78"/>
      <c r="L176" s="72"/>
      <c r="M176" s="72"/>
      <c r="N176" s="71"/>
    </row>
    <row r="177" spans="1:14" ht="27" customHeight="1" x14ac:dyDescent="0.3">
      <c r="A177" s="101">
        <v>82</v>
      </c>
      <c r="B177" s="124" t="s">
        <v>497</v>
      </c>
      <c r="C177" s="90" t="s">
        <v>505</v>
      </c>
      <c r="D177" s="90" t="s">
        <v>506</v>
      </c>
      <c r="E177" s="90" t="s">
        <v>507</v>
      </c>
      <c r="F177" s="26">
        <v>1</v>
      </c>
      <c r="G177" s="27" t="s">
        <v>508</v>
      </c>
      <c r="H177" s="27" t="s">
        <v>509</v>
      </c>
      <c r="I177" s="36"/>
      <c r="J177" s="38"/>
      <c r="K177" s="78"/>
      <c r="L177" s="72"/>
      <c r="M177" s="72"/>
      <c r="N177" s="71" t="s">
        <v>40</v>
      </c>
    </row>
    <row r="178" spans="1:14" ht="26.4" x14ac:dyDescent="0.3">
      <c r="A178" s="81"/>
      <c r="B178" s="103"/>
      <c r="C178" s="69"/>
      <c r="D178" s="69"/>
      <c r="E178" s="69"/>
      <c r="F178" s="24">
        <v>2</v>
      </c>
      <c r="G178" s="25" t="s">
        <v>510</v>
      </c>
      <c r="H178" s="25"/>
      <c r="I178" s="25" t="s">
        <v>511</v>
      </c>
      <c r="J178" s="35"/>
      <c r="K178" s="78"/>
      <c r="L178" s="72"/>
      <c r="M178" s="72"/>
      <c r="N178" s="71"/>
    </row>
    <row r="179" spans="1:14" ht="27" customHeight="1" x14ac:dyDescent="0.3">
      <c r="A179" s="101">
        <v>83</v>
      </c>
      <c r="B179" s="124" t="s">
        <v>497</v>
      </c>
      <c r="C179" s="90" t="s">
        <v>512</v>
      </c>
      <c r="D179" s="90" t="s">
        <v>513</v>
      </c>
      <c r="E179" s="90" t="s">
        <v>507</v>
      </c>
      <c r="F179" s="26">
        <v>1</v>
      </c>
      <c r="G179" s="27" t="s">
        <v>514</v>
      </c>
      <c r="H179" s="27" t="s">
        <v>515</v>
      </c>
      <c r="I179" s="36"/>
      <c r="J179" s="37"/>
    </row>
    <row r="180" spans="1:14" ht="26.4" x14ac:dyDescent="0.3">
      <c r="A180" s="81"/>
      <c r="B180" s="103"/>
      <c r="C180" s="69"/>
      <c r="D180" s="69"/>
      <c r="E180" s="69"/>
      <c r="F180" s="24">
        <v>2</v>
      </c>
      <c r="G180" s="25" t="s">
        <v>510</v>
      </c>
      <c r="H180" s="25"/>
      <c r="I180" s="25" t="s">
        <v>516</v>
      </c>
      <c r="J180" s="35"/>
    </row>
    <row r="181" spans="1:14" ht="27" customHeight="1" x14ac:dyDescent="0.3">
      <c r="A181" s="101">
        <v>84</v>
      </c>
      <c r="B181" s="122" t="s">
        <v>517</v>
      </c>
      <c r="C181" s="90" t="s">
        <v>518</v>
      </c>
      <c r="D181" s="90" t="s">
        <v>519</v>
      </c>
      <c r="E181" s="90" t="s">
        <v>520</v>
      </c>
      <c r="F181" s="26">
        <v>1</v>
      </c>
      <c r="G181" s="27" t="s">
        <v>521</v>
      </c>
      <c r="H181" s="27" t="s">
        <v>522</v>
      </c>
      <c r="I181" s="36"/>
      <c r="J181" s="37"/>
      <c r="K181" s="78"/>
      <c r="L181" s="72"/>
      <c r="M181" s="72"/>
      <c r="N181" s="71" t="s">
        <v>40</v>
      </c>
    </row>
    <row r="182" spans="1:14" ht="26.4" x14ac:dyDescent="0.3">
      <c r="A182" s="81"/>
      <c r="B182" s="123"/>
      <c r="C182" s="69"/>
      <c r="D182" s="69"/>
      <c r="E182" s="69"/>
      <c r="F182" s="24">
        <v>2</v>
      </c>
      <c r="G182" s="25" t="s">
        <v>523</v>
      </c>
      <c r="H182" s="25"/>
      <c r="I182" s="25" t="s">
        <v>524</v>
      </c>
      <c r="J182" s="35"/>
      <c r="K182" s="78"/>
      <c r="L182" s="72"/>
      <c r="M182" s="72"/>
      <c r="N182" s="71"/>
    </row>
    <row r="183" spans="1:14" ht="27" customHeight="1" x14ac:dyDescent="0.3">
      <c r="A183" s="101">
        <v>85</v>
      </c>
      <c r="B183" s="122" t="s">
        <v>517</v>
      </c>
      <c r="C183" s="90" t="s">
        <v>525</v>
      </c>
      <c r="D183" s="90" t="s">
        <v>526</v>
      </c>
      <c r="E183" s="90" t="s">
        <v>507</v>
      </c>
      <c r="F183" s="26">
        <v>1</v>
      </c>
      <c r="G183" s="27" t="s">
        <v>527</v>
      </c>
      <c r="H183" s="27" t="s">
        <v>528</v>
      </c>
      <c r="I183" s="36"/>
      <c r="J183" s="37"/>
    </row>
    <row r="184" spans="1:14" ht="26.4" x14ac:dyDescent="0.3">
      <c r="A184" s="81"/>
      <c r="B184" s="123"/>
      <c r="C184" s="69"/>
      <c r="D184" s="69"/>
      <c r="E184" s="69"/>
      <c r="F184" s="24">
        <v>2</v>
      </c>
      <c r="G184" s="25" t="s">
        <v>523</v>
      </c>
      <c r="H184" s="25"/>
      <c r="I184" s="25" t="s">
        <v>529</v>
      </c>
      <c r="J184" s="35"/>
    </row>
    <row r="185" spans="1:14" ht="27" customHeight="1" x14ac:dyDescent="0.3">
      <c r="A185" s="101">
        <v>86</v>
      </c>
      <c r="B185" s="122" t="s">
        <v>517</v>
      </c>
      <c r="C185" s="90" t="s">
        <v>530</v>
      </c>
      <c r="D185" s="90" t="s">
        <v>531</v>
      </c>
      <c r="E185" s="90" t="s">
        <v>507</v>
      </c>
      <c r="F185" s="26">
        <v>1</v>
      </c>
      <c r="G185" s="27" t="s">
        <v>532</v>
      </c>
      <c r="H185" s="27" t="s">
        <v>533</v>
      </c>
      <c r="I185" s="36"/>
      <c r="J185" s="37"/>
    </row>
    <row r="186" spans="1:14" ht="26.4" x14ac:dyDescent="0.3">
      <c r="A186" s="81"/>
      <c r="B186" s="123"/>
      <c r="C186" s="69"/>
      <c r="D186" s="69"/>
      <c r="E186" s="69"/>
      <c r="F186" s="24">
        <v>2</v>
      </c>
      <c r="G186" s="25" t="s">
        <v>523</v>
      </c>
      <c r="H186" s="25"/>
      <c r="I186" s="25" t="s">
        <v>534</v>
      </c>
      <c r="J186" s="35"/>
    </row>
    <row r="187" spans="1:14" ht="27" customHeight="1" x14ac:dyDescent="0.3">
      <c r="A187" s="101">
        <v>87</v>
      </c>
      <c r="B187" s="122" t="s">
        <v>517</v>
      </c>
      <c r="C187" s="90" t="s">
        <v>535</v>
      </c>
      <c r="D187" s="90" t="s">
        <v>536</v>
      </c>
      <c r="E187" s="90" t="s">
        <v>537</v>
      </c>
      <c r="F187" s="26">
        <v>1</v>
      </c>
      <c r="G187" s="27" t="s">
        <v>538</v>
      </c>
      <c r="H187" s="27" t="s">
        <v>539</v>
      </c>
      <c r="I187" s="36"/>
      <c r="J187" s="37"/>
      <c r="K187" s="78"/>
      <c r="L187" s="72"/>
      <c r="M187" s="72"/>
      <c r="N187" s="71" t="s">
        <v>40</v>
      </c>
    </row>
    <row r="188" spans="1:14" ht="26.4" x14ac:dyDescent="0.3">
      <c r="A188" s="81"/>
      <c r="B188" s="123"/>
      <c r="C188" s="69"/>
      <c r="D188" s="69"/>
      <c r="E188" s="69"/>
      <c r="F188" s="24">
        <v>2</v>
      </c>
      <c r="G188" s="25" t="s">
        <v>540</v>
      </c>
      <c r="H188" s="25"/>
      <c r="I188" s="25" t="s">
        <v>541</v>
      </c>
      <c r="J188" s="35"/>
      <c r="K188" s="78"/>
      <c r="L188" s="72"/>
      <c r="M188" s="72"/>
      <c r="N188" s="71"/>
    </row>
    <row r="189" spans="1:14" ht="27" customHeight="1" x14ac:dyDescent="0.3">
      <c r="A189" s="101">
        <v>88</v>
      </c>
      <c r="B189" s="122" t="s">
        <v>517</v>
      </c>
      <c r="C189" s="90" t="s">
        <v>542</v>
      </c>
      <c r="D189" s="90" t="s">
        <v>543</v>
      </c>
      <c r="E189" s="90" t="s">
        <v>507</v>
      </c>
      <c r="F189" s="26">
        <v>1</v>
      </c>
      <c r="G189" s="27" t="s">
        <v>544</v>
      </c>
      <c r="H189" s="27" t="s">
        <v>545</v>
      </c>
      <c r="I189" s="36"/>
      <c r="J189" s="38"/>
    </row>
    <row r="190" spans="1:14" ht="39.6" x14ac:dyDescent="0.3">
      <c r="A190" s="81"/>
      <c r="B190" s="123"/>
      <c r="C190" s="69"/>
      <c r="D190" s="69"/>
      <c r="E190" s="69"/>
      <c r="F190" s="24">
        <v>2</v>
      </c>
      <c r="G190" s="25" t="s">
        <v>540</v>
      </c>
      <c r="H190" s="25"/>
      <c r="I190" s="25" t="s">
        <v>546</v>
      </c>
      <c r="J190" s="35"/>
    </row>
    <row r="191" spans="1:14" ht="27" customHeight="1" x14ac:dyDescent="0.3">
      <c r="A191" s="101">
        <v>89</v>
      </c>
      <c r="B191" s="129" t="s">
        <v>547</v>
      </c>
      <c r="C191" s="90" t="s">
        <v>548</v>
      </c>
      <c r="D191" s="90" t="s">
        <v>549</v>
      </c>
      <c r="E191" s="90" t="s">
        <v>550</v>
      </c>
      <c r="F191" s="26">
        <v>1</v>
      </c>
      <c r="G191" s="27" t="s">
        <v>551</v>
      </c>
      <c r="H191" s="27" t="s">
        <v>552</v>
      </c>
      <c r="I191" s="36"/>
      <c r="J191" s="37"/>
      <c r="K191" s="78"/>
      <c r="L191" s="72"/>
      <c r="M191" s="72"/>
      <c r="N191" s="71" t="s">
        <v>40</v>
      </c>
    </row>
    <row r="192" spans="1:14" ht="26.4" x14ac:dyDescent="0.3">
      <c r="A192" s="81"/>
      <c r="B192" s="130"/>
      <c r="C192" s="69"/>
      <c r="D192" s="69"/>
      <c r="E192" s="69"/>
      <c r="F192" s="24">
        <v>2</v>
      </c>
      <c r="G192" s="25" t="s">
        <v>553</v>
      </c>
      <c r="H192" s="25"/>
      <c r="I192" s="25" t="s">
        <v>554</v>
      </c>
      <c r="J192" s="35"/>
      <c r="K192" s="78"/>
      <c r="L192" s="72"/>
      <c r="M192" s="72"/>
      <c r="N192" s="71"/>
    </row>
    <row r="193" spans="1:14" ht="27" customHeight="1" x14ac:dyDescent="0.3">
      <c r="A193" s="101">
        <v>90</v>
      </c>
      <c r="B193" s="129" t="s">
        <v>547</v>
      </c>
      <c r="C193" s="90" t="s">
        <v>555</v>
      </c>
      <c r="D193" s="90" t="s">
        <v>556</v>
      </c>
      <c r="E193" s="90" t="s">
        <v>507</v>
      </c>
      <c r="F193" s="26">
        <v>1</v>
      </c>
      <c r="G193" s="27" t="s">
        <v>557</v>
      </c>
      <c r="H193" s="27" t="s">
        <v>558</v>
      </c>
      <c r="I193" s="36"/>
      <c r="J193" s="37"/>
    </row>
    <row r="194" spans="1:14" ht="26.4" x14ac:dyDescent="0.3">
      <c r="A194" s="81"/>
      <c r="B194" s="130"/>
      <c r="C194" s="69"/>
      <c r="D194" s="69"/>
      <c r="E194" s="69"/>
      <c r="F194" s="24">
        <v>2</v>
      </c>
      <c r="G194" s="25" t="s">
        <v>553</v>
      </c>
      <c r="H194" s="25"/>
      <c r="I194" s="25" t="s">
        <v>559</v>
      </c>
      <c r="J194" s="35"/>
    </row>
    <row r="195" spans="1:14" ht="27" customHeight="1" x14ac:dyDescent="0.3">
      <c r="A195" s="101">
        <v>91</v>
      </c>
      <c r="B195" s="129" t="s">
        <v>547</v>
      </c>
      <c r="C195" s="90" t="s">
        <v>560</v>
      </c>
      <c r="D195" s="90" t="s">
        <v>467</v>
      </c>
      <c r="E195" s="90" t="s">
        <v>507</v>
      </c>
      <c r="F195" s="26">
        <v>1</v>
      </c>
      <c r="G195" s="27" t="s">
        <v>306</v>
      </c>
      <c r="H195" s="27" t="s">
        <v>561</v>
      </c>
      <c r="I195" s="36"/>
      <c r="J195" s="37"/>
    </row>
    <row r="196" spans="1:14" x14ac:dyDescent="0.3">
      <c r="A196" s="81"/>
      <c r="B196" s="130"/>
      <c r="C196" s="69"/>
      <c r="D196" s="69"/>
      <c r="E196" s="69"/>
      <c r="F196" s="24">
        <v>2</v>
      </c>
      <c r="G196" s="25" t="s">
        <v>553</v>
      </c>
      <c r="H196" s="25"/>
      <c r="I196" s="25" t="s">
        <v>562</v>
      </c>
      <c r="J196" s="35"/>
    </row>
    <row r="197" spans="1:14" ht="26.4" x14ac:dyDescent="0.3">
      <c r="A197" s="101">
        <v>92</v>
      </c>
      <c r="B197" s="124" t="s">
        <v>497</v>
      </c>
      <c r="C197" s="90" t="s">
        <v>563</v>
      </c>
      <c r="D197" s="90" t="s">
        <v>564</v>
      </c>
      <c r="E197" s="90" t="s">
        <v>565</v>
      </c>
      <c r="F197" s="26">
        <v>1</v>
      </c>
      <c r="G197" s="27" t="s">
        <v>566</v>
      </c>
      <c r="H197" s="27"/>
      <c r="I197" s="36"/>
      <c r="J197" s="37"/>
    </row>
    <row r="198" spans="1:14" ht="39.6" x14ac:dyDescent="0.3">
      <c r="A198" s="81"/>
      <c r="B198" s="103"/>
      <c r="C198" s="69"/>
      <c r="D198" s="69"/>
      <c r="E198" s="69"/>
      <c r="F198" s="24">
        <v>2</v>
      </c>
      <c r="G198" s="25" t="s">
        <v>567</v>
      </c>
      <c r="H198" s="25"/>
      <c r="I198" s="25" t="s">
        <v>568</v>
      </c>
      <c r="J198" s="35"/>
    </row>
    <row r="199" spans="1:14" ht="27" customHeight="1" x14ac:dyDescent="0.3">
      <c r="A199" s="101">
        <v>93</v>
      </c>
      <c r="B199" s="124" t="s">
        <v>497</v>
      </c>
      <c r="C199" s="90" t="s">
        <v>569</v>
      </c>
      <c r="D199" s="90" t="s">
        <v>570</v>
      </c>
      <c r="E199" s="90" t="s">
        <v>507</v>
      </c>
      <c r="F199" s="26">
        <v>1</v>
      </c>
      <c r="G199" s="27" t="s">
        <v>571</v>
      </c>
      <c r="H199" s="27"/>
      <c r="I199" s="36"/>
      <c r="J199" s="37"/>
    </row>
    <row r="200" spans="1:14" ht="26.4" x14ac:dyDescent="0.3">
      <c r="A200" s="81"/>
      <c r="B200" s="103"/>
      <c r="C200" s="69"/>
      <c r="D200" s="69"/>
      <c r="E200" s="69"/>
      <c r="F200" s="24">
        <v>2</v>
      </c>
      <c r="G200" s="25" t="s">
        <v>572</v>
      </c>
      <c r="H200" s="25"/>
      <c r="I200" s="25" t="s">
        <v>573</v>
      </c>
      <c r="J200" s="35"/>
    </row>
    <row r="201" spans="1:14" ht="26.4" x14ac:dyDescent="0.3">
      <c r="A201" s="101">
        <v>94</v>
      </c>
      <c r="B201" s="124" t="s">
        <v>497</v>
      </c>
      <c r="C201" s="90" t="s">
        <v>574</v>
      </c>
      <c r="D201" s="90" t="s">
        <v>575</v>
      </c>
      <c r="E201" s="90" t="s">
        <v>507</v>
      </c>
      <c r="F201" s="26">
        <v>1</v>
      </c>
      <c r="G201" s="27" t="s">
        <v>576</v>
      </c>
      <c r="H201" s="27" t="s">
        <v>577</v>
      </c>
      <c r="I201" s="36"/>
      <c r="J201" s="38"/>
    </row>
    <row r="202" spans="1:14" ht="39.6" x14ac:dyDescent="0.3">
      <c r="A202" s="81"/>
      <c r="B202" s="103"/>
      <c r="C202" s="69"/>
      <c r="D202" s="69"/>
      <c r="E202" s="69"/>
      <c r="F202" s="24">
        <v>2</v>
      </c>
      <c r="G202" s="25" t="s">
        <v>578</v>
      </c>
      <c r="H202" s="25"/>
      <c r="I202" s="25" t="s">
        <v>579</v>
      </c>
      <c r="J202" s="35"/>
    </row>
    <row r="203" spans="1:14" ht="26.4" x14ac:dyDescent="0.3">
      <c r="A203" s="101">
        <v>95</v>
      </c>
      <c r="B203" s="124" t="s">
        <v>497</v>
      </c>
      <c r="C203" s="90" t="s">
        <v>580</v>
      </c>
      <c r="D203" s="90" t="s">
        <v>581</v>
      </c>
      <c r="E203" s="90" t="s">
        <v>507</v>
      </c>
      <c r="F203" s="26">
        <v>1</v>
      </c>
      <c r="G203" s="27" t="s">
        <v>582</v>
      </c>
      <c r="H203" s="27" t="s">
        <v>583</v>
      </c>
      <c r="I203" s="36"/>
      <c r="J203" s="38"/>
    </row>
    <row r="204" spans="1:14" ht="26.4" x14ac:dyDescent="0.3">
      <c r="A204" s="132"/>
      <c r="B204" s="131"/>
      <c r="C204" s="111"/>
      <c r="D204" s="111"/>
      <c r="E204" s="111"/>
      <c r="F204" s="31">
        <v>2</v>
      </c>
      <c r="G204" s="32" t="s">
        <v>584</v>
      </c>
      <c r="H204" s="32"/>
      <c r="I204" s="32" t="s">
        <v>585</v>
      </c>
      <c r="J204" s="54"/>
    </row>
    <row r="205" spans="1:14" x14ac:dyDescent="0.3">
      <c r="A205" s="100" t="s">
        <v>586</v>
      </c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</row>
    <row r="206" spans="1:14" ht="52.8" x14ac:dyDescent="0.3">
      <c r="A206" s="99">
        <v>96</v>
      </c>
      <c r="B206" s="102" t="s">
        <v>587</v>
      </c>
      <c r="C206" s="104" t="s">
        <v>588</v>
      </c>
      <c r="D206" s="104" t="s">
        <v>589</v>
      </c>
      <c r="E206" s="105" t="s">
        <v>236</v>
      </c>
      <c r="F206" s="22">
        <v>1</v>
      </c>
      <c r="G206" s="21" t="s">
        <v>590</v>
      </c>
      <c r="H206" s="21" t="s">
        <v>591</v>
      </c>
      <c r="I206" s="33"/>
      <c r="J206" s="23"/>
      <c r="K206" s="78"/>
      <c r="L206" s="72"/>
      <c r="M206" s="72"/>
      <c r="N206" s="71" t="s">
        <v>40</v>
      </c>
    </row>
    <row r="207" spans="1:14" ht="26.4" x14ac:dyDescent="0.3">
      <c r="A207" s="81"/>
      <c r="B207" s="103"/>
      <c r="C207" s="69"/>
      <c r="D207" s="69"/>
      <c r="E207" s="106"/>
      <c r="F207" s="24">
        <v>2</v>
      </c>
      <c r="G207" s="25" t="s">
        <v>592</v>
      </c>
      <c r="H207" s="25"/>
      <c r="I207" s="25" t="s">
        <v>593</v>
      </c>
      <c r="J207" s="35"/>
      <c r="K207" s="78"/>
      <c r="L207" s="72"/>
      <c r="M207" s="72"/>
      <c r="N207" s="71"/>
    </row>
    <row r="208" spans="1:14" ht="52.8" x14ac:dyDescent="0.3">
      <c r="A208" s="101">
        <v>97</v>
      </c>
      <c r="B208" s="122" t="s">
        <v>594</v>
      </c>
      <c r="C208" s="90" t="s">
        <v>595</v>
      </c>
      <c r="D208" s="90" t="s">
        <v>596</v>
      </c>
      <c r="E208" s="133" t="s">
        <v>597</v>
      </c>
      <c r="F208" s="26">
        <v>1</v>
      </c>
      <c r="G208" s="27" t="s">
        <v>598</v>
      </c>
      <c r="H208" s="27" t="s">
        <v>599</v>
      </c>
      <c r="I208" s="36"/>
      <c r="J208" s="38"/>
      <c r="K208" s="78"/>
      <c r="L208" s="72"/>
      <c r="M208" s="72"/>
      <c r="N208" s="71" t="s">
        <v>40</v>
      </c>
    </row>
    <row r="209" spans="1:14" x14ac:dyDescent="0.3">
      <c r="A209" s="81"/>
      <c r="B209" s="123"/>
      <c r="C209" s="69"/>
      <c r="D209" s="69"/>
      <c r="E209" s="134"/>
      <c r="F209" s="24">
        <v>2</v>
      </c>
      <c r="G209" s="25" t="s">
        <v>592</v>
      </c>
      <c r="H209" s="25"/>
      <c r="I209" s="25" t="s">
        <v>600</v>
      </c>
      <c r="J209" s="35"/>
      <c r="K209" s="78"/>
      <c r="L209" s="72"/>
      <c r="M209" s="72"/>
      <c r="N209" s="71"/>
    </row>
    <row r="210" spans="1:14" ht="52.8" x14ac:dyDescent="0.3">
      <c r="A210" s="101">
        <v>98</v>
      </c>
      <c r="B210" s="122" t="s">
        <v>594</v>
      </c>
      <c r="C210" s="90" t="s">
        <v>601</v>
      </c>
      <c r="D210" s="90" t="s">
        <v>602</v>
      </c>
      <c r="E210" s="133" t="s">
        <v>597</v>
      </c>
      <c r="F210" s="26">
        <v>1</v>
      </c>
      <c r="G210" s="27" t="s">
        <v>603</v>
      </c>
      <c r="H210" s="27" t="s">
        <v>604</v>
      </c>
      <c r="I210" s="36"/>
      <c r="J210" s="37"/>
    </row>
    <row r="211" spans="1:14" x14ac:dyDescent="0.3">
      <c r="A211" s="81"/>
      <c r="B211" s="123"/>
      <c r="C211" s="69"/>
      <c r="D211" s="69"/>
      <c r="E211" s="134"/>
      <c r="F211" s="24">
        <v>2</v>
      </c>
      <c r="G211" s="25" t="s">
        <v>592</v>
      </c>
      <c r="H211" s="25"/>
      <c r="I211" s="25" t="s">
        <v>605</v>
      </c>
      <c r="J211" s="35"/>
    </row>
    <row r="212" spans="1:14" ht="52.8" x14ac:dyDescent="0.3">
      <c r="A212" s="101">
        <v>99</v>
      </c>
      <c r="B212" s="122" t="s">
        <v>594</v>
      </c>
      <c r="C212" s="90" t="s">
        <v>606</v>
      </c>
      <c r="D212" s="90" t="s">
        <v>607</v>
      </c>
      <c r="E212" s="133" t="s">
        <v>597</v>
      </c>
      <c r="F212" s="26">
        <v>1</v>
      </c>
      <c r="G212" s="27" t="s">
        <v>608</v>
      </c>
      <c r="H212" s="27" t="s">
        <v>609</v>
      </c>
      <c r="I212" s="36"/>
      <c r="J212" s="37"/>
    </row>
    <row r="213" spans="1:14" x14ac:dyDescent="0.3">
      <c r="A213" s="81"/>
      <c r="B213" s="123"/>
      <c r="C213" s="69"/>
      <c r="D213" s="69"/>
      <c r="E213" s="134"/>
      <c r="F213" s="24">
        <v>2</v>
      </c>
      <c r="G213" s="25" t="s">
        <v>592</v>
      </c>
      <c r="H213" s="25"/>
      <c r="I213" s="25" t="s">
        <v>416</v>
      </c>
      <c r="J213" s="35"/>
    </row>
    <row r="214" spans="1:14" ht="52.8" x14ac:dyDescent="0.3">
      <c r="A214" s="101">
        <v>100</v>
      </c>
      <c r="B214" s="122" t="s">
        <v>594</v>
      </c>
      <c r="C214" s="90" t="s">
        <v>610</v>
      </c>
      <c r="D214" s="90" t="s">
        <v>611</v>
      </c>
      <c r="E214" s="133" t="s">
        <v>597</v>
      </c>
      <c r="F214" s="26">
        <v>1</v>
      </c>
      <c r="G214" s="27" t="s">
        <v>612</v>
      </c>
      <c r="H214" s="27" t="s">
        <v>613</v>
      </c>
      <c r="I214" s="36"/>
      <c r="J214" s="37"/>
    </row>
    <row r="215" spans="1:14" x14ac:dyDescent="0.3">
      <c r="A215" s="81"/>
      <c r="B215" s="123"/>
      <c r="C215" s="69"/>
      <c r="D215" s="69"/>
      <c r="E215" s="134"/>
      <c r="F215" s="24">
        <v>2</v>
      </c>
      <c r="G215" s="25" t="s">
        <v>592</v>
      </c>
      <c r="H215" s="25"/>
      <c r="I215" s="25" t="s">
        <v>420</v>
      </c>
      <c r="J215" s="35"/>
    </row>
    <row r="216" spans="1:14" ht="66" x14ac:dyDescent="0.3">
      <c r="A216" s="101">
        <v>101</v>
      </c>
      <c r="B216" s="122" t="s">
        <v>594</v>
      </c>
      <c r="C216" s="90" t="s">
        <v>614</v>
      </c>
      <c r="D216" s="90" t="s">
        <v>615</v>
      </c>
      <c r="E216" s="133" t="s">
        <v>597</v>
      </c>
      <c r="F216" s="26">
        <v>1</v>
      </c>
      <c r="G216" s="27" t="s">
        <v>616</v>
      </c>
      <c r="H216" s="27" t="s">
        <v>617</v>
      </c>
      <c r="I216" s="36"/>
      <c r="J216" s="37"/>
    </row>
    <row r="217" spans="1:14" x14ac:dyDescent="0.3">
      <c r="A217" s="81"/>
      <c r="B217" s="123"/>
      <c r="C217" s="69"/>
      <c r="D217" s="69"/>
      <c r="E217" s="134"/>
      <c r="F217" s="24">
        <v>2</v>
      </c>
      <c r="G217" s="25" t="s">
        <v>592</v>
      </c>
      <c r="H217" s="25"/>
      <c r="I217" s="25" t="s">
        <v>424</v>
      </c>
      <c r="J217" s="35"/>
    </row>
    <row r="218" spans="1:14" ht="52.8" x14ac:dyDescent="0.3">
      <c r="A218" s="101">
        <v>102</v>
      </c>
      <c r="B218" s="122" t="s">
        <v>594</v>
      </c>
      <c r="C218" s="90" t="s">
        <v>618</v>
      </c>
      <c r="D218" s="90" t="s">
        <v>619</v>
      </c>
      <c r="E218" s="133" t="s">
        <v>597</v>
      </c>
      <c r="F218" s="26">
        <v>1</v>
      </c>
      <c r="G218" s="27" t="s">
        <v>620</v>
      </c>
      <c r="H218" s="27" t="s">
        <v>621</v>
      </c>
      <c r="I218" s="36"/>
      <c r="J218" s="37"/>
      <c r="K218" s="78"/>
      <c r="L218" s="72"/>
      <c r="M218" s="72"/>
      <c r="N218" s="71" t="s">
        <v>40</v>
      </c>
    </row>
    <row r="219" spans="1:14" ht="26.4" x14ac:dyDescent="0.3">
      <c r="A219" s="81"/>
      <c r="B219" s="123"/>
      <c r="C219" s="69"/>
      <c r="D219" s="69"/>
      <c r="E219" s="134"/>
      <c r="F219" s="24">
        <v>2</v>
      </c>
      <c r="G219" s="25" t="s">
        <v>592</v>
      </c>
      <c r="H219" s="25"/>
      <c r="I219" s="25" t="s">
        <v>622</v>
      </c>
      <c r="J219" s="35"/>
      <c r="K219" s="78"/>
      <c r="L219" s="72"/>
      <c r="M219" s="72"/>
      <c r="N219" s="71"/>
    </row>
    <row r="220" spans="1:14" ht="26.4" x14ac:dyDescent="0.3">
      <c r="A220" s="101">
        <v>103</v>
      </c>
      <c r="B220" s="124" t="s">
        <v>587</v>
      </c>
      <c r="C220" s="90" t="s">
        <v>623</v>
      </c>
      <c r="D220" s="90" t="s">
        <v>624</v>
      </c>
      <c r="E220" s="133" t="s">
        <v>597</v>
      </c>
      <c r="F220" s="26">
        <v>1</v>
      </c>
      <c r="G220" s="27" t="s">
        <v>625</v>
      </c>
      <c r="H220" s="27"/>
      <c r="I220" s="36"/>
      <c r="J220" s="37"/>
    </row>
    <row r="221" spans="1:14" ht="26.4" x14ac:dyDescent="0.3">
      <c r="A221" s="81"/>
      <c r="B221" s="103"/>
      <c r="C221" s="69"/>
      <c r="D221" s="69"/>
      <c r="E221" s="134"/>
      <c r="F221" s="24">
        <v>2</v>
      </c>
      <c r="G221" s="25" t="s">
        <v>592</v>
      </c>
      <c r="H221" s="25"/>
      <c r="I221" s="25" t="s">
        <v>626</v>
      </c>
      <c r="J221" s="35"/>
    </row>
    <row r="222" spans="1:14" ht="27" customHeight="1" x14ac:dyDescent="0.3">
      <c r="A222" s="101">
        <v>104</v>
      </c>
      <c r="B222" s="129" t="s">
        <v>627</v>
      </c>
      <c r="C222" s="90" t="s">
        <v>628</v>
      </c>
      <c r="D222" s="90" t="s">
        <v>629</v>
      </c>
      <c r="E222" s="158" t="s">
        <v>630</v>
      </c>
      <c r="F222" s="26">
        <v>1</v>
      </c>
      <c r="G222" s="27" t="s">
        <v>631</v>
      </c>
      <c r="H222" s="27"/>
      <c r="I222" s="36"/>
      <c r="J222" s="38"/>
      <c r="K222" s="78"/>
      <c r="L222" s="72"/>
      <c r="M222" s="72"/>
      <c r="N222" s="71" t="s">
        <v>40</v>
      </c>
    </row>
    <row r="223" spans="1:14" ht="26.4" x14ac:dyDescent="0.3">
      <c r="A223" s="140"/>
      <c r="B223" s="156"/>
      <c r="C223" s="157"/>
      <c r="D223" s="157"/>
      <c r="E223" s="159"/>
      <c r="F223" s="24">
        <v>2</v>
      </c>
      <c r="G223" s="25" t="s">
        <v>632</v>
      </c>
      <c r="H223" s="25"/>
      <c r="I223" s="25" t="s">
        <v>633</v>
      </c>
      <c r="J223" s="35"/>
      <c r="K223" s="78"/>
      <c r="L223" s="72"/>
      <c r="M223" s="72"/>
      <c r="N223" s="71"/>
    </row>
    <row r="224" spans="1:14" ht="92.4" x14ac:dyDescent="0.3">
      <c r="A224" s="141">
        <v>105</v>
      </c>
      <c r="B224" s="138" t="s">
        <v>594</v>
      </c>
      <c r="C224" s="135" t="s">
        <v>634</v>
      </c>
      <c r="D224" s="135" t="s">
        <v>635</v>
      </c>
      <c r="E224" s="136" t="s">
        <v>597</v>
      </c>
      <c r="F224" s="56">
        <v>1</v>
      </c>
      <c r="G224" s="55" t="s">
        <v>636</v>
      </c>
      <c r="H224" s="55" t="s">
        <v>637</v>
      </c>
      <c r="I224" s="57"/>
      <c r="J224" s="58"/>
    </row>
    <row r="225" spans="1:14" ht="26.4" x14ac:dyDescent="0.3">
      <c r="A225" s="132"/>
      <c r="B225" s="139"/>
      <c r="C225" s="111"/>
      <c r="D225" s="111"/>
      <c r="E225" s="137"/>
      <c r="F225" s="31">
        <v>2</v>
      </c>
      <c r="G225" s="32" t="s">
        <v>592</v>
      </c>
      <c r="H225" s="32"/>
      <c r="I225" s="32" t="s">
        <v>638</v>
      </c>
      <c r="J225" s="54"/>
    </row>
    <row r="226" spans="1:14" x14ac:dyDescent="0.3">
      <c r="A226" s="109" t="s">
        <v>639</v>
      </c>
      <c r="B226" s="109"/>
      <c r="C226" s="109"/>
      <c r="D226" s="109"/>
      <c r="E226" s="109"/>
      <c r="F226" s="109"/>
      <c r="G226" s="109"/>
      <c r="H226" s="109"/>
      <c r="I226" s="109"/>
      <c r="J226" s="109"/>
      <c r="K226" s="109"/>
      <c r="L226" s="109"/>
      <c r="M226" s="109"/>
      <c r="N226" s="109"/>
    </row>
    <row r="227" spans="1:14" ht="26.4" x14ac:dyDescent="0.3">
      <c r="A227" s="99">
        <v>106</v>
      </c>
      <c r="B227" s="104" t="s">
        <v>640</v>
      </c>
      <c r="C227" s="104" t="s">
        <v>641</v>
      </c>
      <c r="D227" s="104" t="s">
        <v>642</v>
      </c>
      <c r="E227" s="104" t="s">
        <v>643</v>
      </c>
      <c r="F227" s="22">
        <v>1</v>
      </c>
      <c r="G227" s="21" t="s">
        <v>644</v>
      </c>
      <c r="H227" s="21" t="s">
        <v>645</v>
      </c>
      <c r="I227" s="33"/>
      <c r="J227" s="23"/>
      <c r="K227" s="153"/>
      <c r="L227" s="152"/>
      <c r="M227" s="152"/>
      <c r="N227" s="110" t="s">
        <v>40</v>
      </c>
    </row>
    <row r="228" spans="1:14" ht="26.4" x14ac:dyDescent="0.3">
      <c r="A228" s="81"/>
      <c r="B228" s="69"/>
      <c r="C228" s="69"/>
      <c r="D228" s="69"/>
      <c r="E228" s="69"/>
      <c r="F228" s="24">
        <v>2</v>
      </c>
      <c r="G228" s="25" t="s">
        <v>646</v>
      </c>
      <c r="H228" s="25" t="s">
        <v>647</v>
      </c>
      <c r="I228" s="25" t="s">
        <v>648</v>
      </c>
      <c r="J228" s="35"/>
      <c r="K228" s="78"/>
      <c r="L228" s="72"/>
      <c r="M228" s="72"/>
      <c r="N228" s="71"/>
    </row>
    <row r="229" spans="1:14" ht="26.4" x14ac:dyDescent="0.3">
      <c r="A229" s="101">
        <v>107</v>
      </c>
      <c r="B229" s="90" t="s">
        <v>649</v>
      </c>
      <c r="C229" s="90" t="s">
        <v>650</v>
      </c>
      <c r="D229" s="90" t="s">
        <v>651</v>
      </c>
      <c r="E229" s="90" t="s">
        <v>643</v>
      </c>
      <c r="F229" s="26">
        <v>1</v>
      </c>
      <c r="G229" s="27" t="s">
        <v>652</v>
      </c>
      <c r="H229" s="27" t="s">
        <v>653</v>
      </c>
      <c r="I229" s="36"/>
      <c r="J229" s="38"/>
      <c r="K229" s="78"/>
      <c r="L229" s="72"/>
      <c r="M229" s="72"/>
      <c r="N229" s="71" t="s">
        <v>40</v>
      </c>
    </row>
    <row r="230" spans="1:14" ht="26.4" x14ac:dyDescent="0.3">
      <c r="A230" s="81"/>
      <c r="B230" s="69"/>
      <c r="C230" s="69"/>
      <c r="D230" s="69"/>
      <c r="E230" s="69"/>
      <c r="F230" s="24">
        <v>2</v>
      </c>
      <c r="G230" s="25" t="s">
        <v>646</v>
      </c>
      <c r="H230" s="25" t="s">
        <v>647</v>
      </c>
      <c r="I230" s="25" t="s">
        <v>654</v>
      </c>
      <c r="J230" s="35"/>
      <c r="K230" s="78"/>
      <c r="L230" s="72"/>
      <c r="M230" s="72"/>
      <c r="N230" s="71"/>
    </row>
    <row r="231" spans="1:14" ht="26.4" x14ac:dyDescent="0.3">
      <c r="A231" s="101">
        <v>108</v>
      </c>
      <c r="B231" s="90" t="s">
        <v>640</v>
      </c>
      <c r="C231" s="90" t="s">
        <v>655</v>
      </c>
      <c r="D231" s="90" t="s">
        <v>656</v>
      </c>
      <c r="E231" s="90" t="s">
        <v>657</v>
      </c>
      <c r="F231" s="26">
        <v>1</v>
      </c>
      <c r="G231" s="27" t="s">
        <v>658</v>
      </c>
      <c r="H231" s="27" t="s">
        <v>659</v>
      </c>
      <c r="I231" s="36"/>
      <c r="J231" s="37"/>
      <c r="K231" s="78"/>
      <c r="L231" s="72"/>
      <c r="M231" s="72"/>
      <c r="N231" s="71" t="s">
        <v>40</v>
      </c>
    </row>
    <row r="232" spans="1:14" x14ac:dyDescent="0.3">
      <c r="A232" s="81"/>
      <c r="B232" s="69"/>
      <c r="C232" s="69"/>
      <c r="D232" s="69"/>
      <c r="E232" s="69"/>
      <c r="F232" s="24">
        <v>2</v>
      </c>
      <c r="G232" s="25" t="s">
        <v>660</v>
      </c>
      <c r="H232" s="25" t="s">
        <v>647</v>
      </c>
      <c r="I232" s="25" t="s">
        <v>661</v>
      </c>
      <c r="J232" s="35"/>
      <c r="K232" s="78"/>
      <c r="L232" s="72"/>
      <c r="M232" s="72"/>
      <c r="N232" s="71"/>
    </row>
    <row r="233" spans="1:14" ht="26.4" x14ac:dyDescent="0.3">
      <c r="A233" s="101">
        <v>109</v>
      </c>
      <c r="B233" s="90" t="s">
        <v>640</v>
      </c>
      <c r="C233" s="90" t="s">
        <v>662</v>
      </c>
      <c r="D233" s="90" t="s">
        <v>663</v>
      </c>
      <c r="E233" s="90" t="s">
        <v>657</v>
      </c>
      <c r="F233" s="26">
        <v>1</v>
      </c>
      <c r="G233" s="27" t="s">
        <v>664</v>
      </c>
      <c r="H233" s="27" t="s">
        <v>665</v>
      </c>
      <c r="I233" s="36"/>
      <c r="J233" s="37"/>
    </row>
    <row r="234" spans="1:14" ht="26.4" x14ac:dyDescent="0.3">
      <c r="A234" s="132"/>
      <c r="B234" s="111"/>
      <c r="C234" s="111"/>
      <c r="D234" s="111"/>
      <c r="E234" s="111"/>
      <c r="F234" s="31">
        <v>2</v>
      </c>
      <c r="G234" s="32" t="s">
        <v>660</v>
      </c>
      <c r="H234" s="32" t="s">
        <v>647</v>
      </c>
      <c r="I234" s="32" t="s">
        <v>666</v>
      </c>
      <c r="J234" s="54"/>
    </row>
    <row r="235" spans="1:14" ht="27" customHeight="1" x14ac:dyDescent="0.3">
      <c r="A235" s="142">
        <v>110</v>
      </c>
      <c r="B235" s="108" t="s">
        <v>640</v>
      </c>
      <c r="C235" s="107" t="s">
        <v>667</v>
      </c>
      <c r="D235" s="107" t="s">
        <v>668</v>
      </c>
      <c r="E235" s="107" t="s">
        <v>657</v>
      </c>
      <c r="F235" s="24">
        <v>1</v>
      </c>
      <c r="G235" s="25" t="s">
        <v>669</v>
      </c>
      <c r="H235" s="25" t="s">
        <v>670</v>
      </c>
      <c r="I235" s="34"/>
      <c r="J235" s="35"/>
    </row>
    <row r="236" spans="1:14" ht="26.4" x14ac:dyDescent="0.3">
      <c r="A236" s="85"/>
      <c r="B236" s="92"/>
      <c r="C236" s="74"/>
      <c r="D236" s="74"/>
      <c r="E236" s="74"/>
      <c r="F236" s="26">
        <v>2</v>
      </c>
      <c r="G236" s="27" t="s">
        <v>660</v>
      </c>
      <c r="H236" s="27"/>
      <c r="I236" s="27" t="s">
        <v>472</v>
      </c>
      <c r="J236" s="37"/>
    </row>
    <row r="237" spans="1:14" ht="27" customHeight="1" x14ac:dyDescent="0.3">
      <c r="A237" s="83">
        <v>111</v>
      </c>
      <c r="B237" s="91" t="s">
        <v>640</v>
      </c>
      <c r="C237" s="73" t="s">
        <v>671</v>
      </c>
      <c r="D237" s="73" t="s">
        <v>672</v>
      </c>
      <c r="E237" s="73" t="s">
        <v>657</v>
      </c>
      <c r="F237" s="24">
        <v>1</v>
      </c>
      <c r="G237" s="25" t="s">
        <v>673</v>
      </c>
      <c r="H237" s="25" t="s">
        <v>674</v>
      </c>
      <c r="I237" s="34"/>
      <c r="J237" s="35"/>
    </row>
    <row r="238" spans="1:14" ht="26.4" x14ac:dyDescent="0.3">
      <c r="A238" s="85"/>
      <c r="B238" s="92"/>
      <c r="C238" s="74"/>
      <c r="D238" s="74"/>
      <c r="E238" s="74"/>
      <c r="F238" s="26">
        <v>2</v>
      </c>
      <c r="G238" s="27" t="s">
        <v>660</v>
      </c>
      <c r="H238" s="27"/>
      <c r="I238" s="27" t="s">
        <v>472</v>
      </c>
      <c r="J238" s="37"/>
    </row>
    <row r="239" spans="1:14" ht="27" customHeight="1" x14ac:dyDescent="0.3">
      <c r="A239" s="83">
        <v>112</v>
      </c>
      <c r="B239" s="91" t="s">
        <v>640</v>
      </c>
      <c r="C239" s="73" t="s">
        <v>675</v>
      </c>
      <c r="D239" s="73" t="s">
        <v>676</v>
      </c>
      <c r="E239" s="73" t="s">
        <v>657</v>
      </c>
      <c r="F239" s="24">
        <v>1</v>
      </c>
      <c r="G239" s="25" t="s">
        <v>677</v>
      </c>
      <c r="H239" s="25" t="s">
        <v>678</v>
      </c>
      <c r="I239" s="34"/>
      <c r="J239" s="35"/>
    </row>
    <row r="240" spans="1:14" ht="26.4" x14ac:dyDescent="0.3">
      <c r="A240" s="85"/>
      <c r="B240" s="92"/>
      <c r="C240" s="74"/>
      <c r="D240" s="74"/>
      <c r="E240" s="74"/>
      <c r="F240" s="26">
        <v>2</v>
      </c>
      <c r="G240" s="27" t="s">
        <v>660</v>
      </c>
      <c r="H240" s="27"/>
      <c r="I240" s="27" t="s">
        <v>679</v>
      </c>
      <c r="J240" s="37"/>
    </row>
    <row r="241" spans="1:14" ht="27" customHeight="1" x14ac:dyDescent="0.3">
      <c r="A241" s="83">
        <v>113</v>
      </c>
      <c r="B241" s="91" t="s">
        <v>640</v>
      </c>
      <c r="C241" s="73" t="s">
        <v>680</v>
      </c>
      <c r="D241" s="73" t="s">
        <v>681</v>
      </c>
      <c r="E241" s="73" t="s">
        <v>657</v>
      </c>
      <c r="F241" s="24">
        <v>1</v>
      </c>
      <c r="G241" s="25" t="s">
        <v>682</v>
      </c>
      <c r="H241" s="25" t="s">
        <v>683</v>
      </c>
      <c r="I241" s="34"/>
      <c r="J241" s="35"/>
    </row>
    <row r="242" spans="1:14" ht="26.4" x14ac:dyDescent="0.3">
      <c r="A242" s="85"/>
      <c r="B242" s="92"/>
      <c r="C242" s="74"/>
      <c r="D242" s="74"/>
      <c r="E242" s="74"/>
      <c r="F242" s="26">
        <v>2</v>
      </c>
      <c r="G242" s="27" t="s">
        <v>660</v>
      </c>
      <c r="H242" s="27"/>
      <c r="I242" s="27" t="s">
        <v>684</v>
      </c>
      <c r="J242" s="37"/>
    </row>
    <row r="243" spans="1:14" ht="27" customHeight="1" x14ac:dyDescent="0.3">
      <c r="A243" s="83">
        <v>114</v>
      </c>
      <c r="B243" s="91" t="s">
        <v>640</v>
      </c>
      <c r="C243" s="73" t="s">
        <v>685</v>
      </c>
      <c r="D243" s="73" t="s">
        <v>686</v>
      </c>
      <c r="E243" s="73" t="s">
        <v>657</v>
      </c>
      <c r="F243" s="24">
        <v>1</v>
      </c>
      <c r="G243" s="25" t="s">
        <v>687</v>
      </c>
      <c r="H243" s="25" t="s">
        <v>688</v>
      </c>
      <c r="I243" s="34"/>
      <c r="J243" s="29"/>
      <c r="K243" s="78"/>
      <c r="L243" s="72"/>
      <c r="M243" s="72"/>
      <c r="N243" s="71" t="s">
        <v>40</v>
      </c>
    </row>
    <row r="244" spans="1:14" ht="26.4" x14ac:dyDescent="0.3">
      <c r="A244" s="85"/>
      <c r="B244" s="92"/>
      <c r="C244" s="74"/>
      <c r="D244" s="74"/>
      <c r="E244" s="74"/>
      <c r="F244" s="26">
        <v>2</v>
      </c>
      <c r="G244" s="27" t="s">
        <v>660</v>
      </c>
      <c r="H244" s="27"/>
      <c r="I244" s="27" t="s">
        <v>689</v>
      </c>
      <c r="J244" s="37"/>
      <c r="K244" s="78"/>
      <c r="L244" s="72"/>
      <c r="M244" s="72"/>
      <c r="N244" s="71"/>
    </row>
    <row r="245" spans="1:14" ht="26.4" x14ac:dyDescent="0.3">
      <c r="A245" s="83">
        <v>115</v>
      </c>
      <c r="B245" s="88" t="s">
        <v>690</v>
      </c>
      <c r="C245" s="73" t="s">
        <v>691</v>
      </c>
      <c r="D245" s="73" t="s">
        <v>692</v>
      </c>
      <c r="E245" s="73" t="s">
        <v>693</v>
      </c>
      <c r="F245" s="24">
        <v>1</v>
      </c>
      <c r="G245" s="25" t="s">
        <v>694</v>
      </c>
      <c r="H245" s="25"/>
      <c r="I245" s="34"/>
      <c r="J245" s="35"/>
    </row>
    <row r="246" spans="1:14" ht="39.6" x14ac:dyDescent="0.3">
      <c r="A246" s="85"/>
      <c r="B246" s="89"/>
      <c r="C246" s="74"/>
      <c r="D246" s="74"/>
      <c r="E246" s="74"/>
      <c r="F246" s="26">
        <v>2</v>
      </c>
      <c r="G246" s="27" t="s">
        <v>695</v>
      </c>
      <c r="H246" s="27"/>
      <c r="I246" s="27" t="s">
        <v>696</v>
      </c>
      <c r="J246" s="37"/>
    </row>
    <row r="247" spans="1:14" ht="27" customHeight="1" x14ac:dyDescent="0.3">
      <c r="A247" s="83">
        <v>116</v>
      </c>
      <c r="B247" s="88" t="s">
        <v>690</v>
      </c>
      <c r="C247" s="73" t="s">
        <v>697</v>
      </c>
      <c r="D247" s="73" t="s">
        <v>698</v>
      </c>
      <c r="E247" s="73" t="s">
        <v>294</v>
      </c>
      <c r="F247" s="24">
        <v>1</v>
      </c>
      <c r="G247" s="25" t="s">
        <v>699</v>
      </c>
      <c r="H247" s="25" t="s">
        <v>700</v>
      </c>
      <c r="I247" s="34"/>
      <c r="J247" s="35"/>
      <c r="K247" s="78"/>
      <c r="L247" s="72"/>
      <c r="M247" s="72"/>
      <c r="N247" s="71" t="s">
        <v>40</v>
      </c>
    </row>
    <row r="248" spans="1:14" ht="26.4" x14ac:dyDescent="0.3">
      <c r="A248" s="85"/>
      <c r="B248" s="89"/>
      <c r="C248" s="74"/>
      <c r="D248" s="74"/>
      <c r="E248" s="74"/>
      <c r="F248" s="26">
        <v>2</v>
      </c>
      <c r="G248" s="27" t="s">
        <v>660</v>
      </c>
      <c r="H248" s="27"/>
      <c r="I248" s="27" t="s">
        <v>701</v>
      </c>
      <c r="J248" s="37"/>
      <c r="K248" s="78"/>
      <c r="L248" s="72"/>
      <c r="M248" s="72"/>
      <c r="N248" s="71"/>
    </row>
    <row r="249" spans="1:14" ht="26.4" x14ac:dyDescent="0.3">
      <c r="A249" s="83">
        <v>117</v>
      </c>
      <c r="B249" s="91" t="s">
        <v>640</v>
      </c>
      <c r="C249" s="73" t="s">
        <v>702</v>
      </c>
      <c r="D249" s="73" t="s">
        <v>703</v>
      </c>
      <c r="E249" s="73" t="s">
        <v>704</v>
      </c>
      <c r="F249" s="24">
        <v>1</v>
      </c>
      <c r="G249" s="25" t="s">
        <v>705</v>
      </c>
      <c r="H249" s="25"/>
      <c r="I249" s="34"/>
      <c r="J249" s="29"/>
    </row>
    <row r="250" spans="1:14" ht="39.6" x14ac:dyDescent="0.3">
      <c r="A250" s="85"/>
      <c r="B250" s="92"/>
      <c r="C250" s="74"/>
      <c r="D250" s="74"/>
      <c r="E250" s="74"/>
      <c r="F250" s="26">
        <v>2</v>
      </c>
      <c r="G250" s="27" t="s">
        <v>567</v>
      </c>
      <c r="H250" s="27"/>
      <c r="I250" s="27" t="s">
        <v>706</v>
      </c>
      <c r="J250" s="37"/>
    </row>
    <row r="251" spans="1:14" ht="27" customHeight="1" x14ac:dyDescent="0.3">
      <c r="A251" s="83">
        <v>118</v>
      </c>
      <c r="B251" s="113" t="s">
        <v>649</v>
      </c>
      <c r="C251" s="73" t="s">
        <v>707</v>
      </c>
      <c r="D251" s="73" t="s">
        <v>708</v>
      </c>
      <c r="E251" s="73" t="s">
        <v>709</v>
      </c>
      <c r="F251" s="24">
        <v>1</v>
      </c>
      <c r="G251" s="25" t="s">
        <v>710</v>
      </c>
      <c r="H251" s="25"/>
      <c r="I251" s="34"/>
      <c r="J251" s="35"/>
    </row>
    <row r="252" spans="1:14" ht="26.4" x14ac:dyDescent="0.3">
      <c r="A252" s="85"/>
      <c r="B252" s="114"/>
      <c r="C252" s="74"/>
      <c r="D252" s="74"/>
      <c r="E252" s="74"/>
      <c r="F252" s="26">
        <v>2</v>
      </c>
      <c r="G252" s="27" t="s">
        <v>711</v>
      </c>
      <c r="H252" s="27"/>
      <c r="I252" s="27" t="s">
        <v>712</v>
      </c>
      <c r="J252" s="37"/>
    </row>
    <row r="253" spans="1:14" ht="27" customHeight="1" x14ac:dyDescent="0.3">
      <c r="A253" s="83">
        <v>119</v>
      </c>
      <c r="B253" s="91" t="s">
        <v>640</v>
      </c>
      <c r="C253" s="73" t="s">
        <v>713</v>
      </c>
      <c r="D253" s="73" t="s">
        <v>714</v>
      </c>
      <c r="E253" s="73" t="s">
        <v>657</v>
      </c>
      <c r="F253" s="24">
        <v>1</v>
      </c>
      <c r="G253" s="25" t="s">
        <v>715</v>
      </c>
      <c r="H253" s="25" t="s">
        <v>716</v>
      </c>
      <c r="I253" s="34"/>
      <c r="J253" s="35"/>
    </row>
    <row r="254" spans="1:14" ht="39.6" x14ac:dyDescent="0.3">
      <c r="A254" s="85"/>
      <c r="B254" s="92"/>
      <c r="C254" s="74"/>
      <c r="D254" s="74"/>
      <c r="E254" s="74"/>
      <c r="F254" s="26">
        <v>2</v>
      </c>
      <c r="G254" s="27" t="s">
        <v>660</v>
      </c>
      <c r="H254" s="27"/>
      <c r="I254" s="27" t="s">
        <v>717</v>
      </c>
      <c r="J254" s="37"/>
    </row>
    <row r="255" spans="1:14" ht="27" customHeight="1" x14ac:dyDescent="0.3">
      <c r="A255" s="83">
        <v>120</v>
      </c>
      <c r="B255" s="91" t="s">
        <v>640</v>
      </c>
      <c r="C255" s="73" t="s">
        <v>718</v>
      </c>
      <c r="D255" s="73" t="s">
        <v>719</v>
      </c>
      <c r="E255" s="73" t="s">
        <v>657</v>
      </c>
      <c r="F255" s="24">
        <v>1</v>
      </c>
      <c r="G255" s="25" t="s">
        <v>370</v>
      </c>
      <c r="H255" s="25"/>
      <c r="I255" s="34"/>
      <c r="J255" s="35"/>
    </row>
    <row r="256" spans="1:14" ht="39.6" x14ac:dyDescent="0.3">
      <c r="A256" s="127"/>
      <c r="B256" s="128"/>
      <c r="C256" s="119"/>
      <c r="D256" s="119"/>
      <c r="E256" s="119"/>
      <c r="F256" s="41">
        <v>2</v>
      </c>
      <c r="G256" s="40" t="s">
        <v>720</v>
      </c>
      <c r="H256" s="40"/>
      <c r="I256" s="40" t="s">
        <v>721</v>
      </c>
      <c r="J256" s="42"/>
    </row>
  </sheetData>
  <mergeCells count="775">
    <mergeCell ref="M64:M65"/>
    <mergeCell ref="K64:K65"/>
    <mergeCell ref="L42:L44"/>
    <mergeCell ref="F45:F46"/>
    <mergeCell ref="I45:I46"/>
    <mergeCell ref="L45:L47"/>
    <mergeCell ref="K56:K57"/>
    <mergeCell ref="K42:K44"/>
    <mergeCell ref="K45:K47"/>
    <mergeCell ref="M60:M61"/>
    <mergeCell ref="L60:L61"/>
    <mergeCell ref="K60:K61"/>
    <mergeCell ref="M62:M63"/>
    <mergeCell ref="L62:L63"/>
    <mergeCell ref="K62:K63"/>
    <mergeCell ref="M136:M137"/>
    <mergeCell ref="K133:K135"/>
    <mergeCell ref="L136:L137"/>
    <mergeCell ref="K136:K137"/>
    <mergeCell ref="M101:M102"/>
    <mergeCell ref="L101:L102"/>
    <mergeCell ref="K101:K102"/>
    <mergeCell ref="M105:M106"/>
    <mergeCell ref="L105:L106"/>
    <mergeCell ref="K105:K106"/>
    <mergeCell ref="M103:M104"/>
    <mergeCell ref="L103:L104"/>
    <mergeCell ref="K103:K104"/>
    <mergeCell ref="M111:M112"/>
    <mergeCell ref="M109:M110"/>
    <mergeCell ref="L109:L110"/>
    <mergeCell ref="K191:K192"/>
    <mergeCell ref="M187:M188"/>
    <mergeCell ref="L187:L188"/>
    <mergeCell ref="K158:K159"/>
    <mergeCell ref="M154:M155"/>
    <mergeCell ref="L154:L155"/>
    <mergeCell ref="K154:K155"/>
    <mergeCell ref="M166:M167"/>
    <mergeCell ref="M168:M169"/>
    <mergeCell ref="L166:L167"/>
    <mergeCell ref="K166:K167"/>
    <mergeCell ref="L168:L169"/>
    <mergeCell ref="K168:K169"/>
    <mergeCell ref="M158:M159"/>
    <mergeCell ref="L158:L159"/>
    <mergeCell ref="K187:K188"/>
    <mergeCell ref="N181:N182"/>
    <mergeCell ref="N187:N188"/>
    <mergeCell ref="N191:N192"/>
    <mergeCell ref="M191:M192"/>
    <mergeCell ref="L191:L192"/>
    <mergeCell ref="M181:M182"/>
    <mergeCell ref="L181:L182"/>
    <mergeCell ref="N229:N230"/>
    <mergeCell ref="N231:N232"/>
    <mergeCell ref="N243:N244"/>
    <mergeCell ref="N247:N248"/>
    <mergeCell ref="K247:K248"/>
    <mergeCell ref="L247:L248"/>
    <mergeCell ref="M247:M248"/>
    <mergeCell ref="M243:M244"/>
    <mergeCell ref="L243:L244"/>
    <mergeCell ref="K243:K244"/>
    <mergeCell ref="M229:M230"/>
    <mergeCell ref="M231:M232"/>
    <mergeCell ref="L229:L230"/>
    <mergeCell ref="K229:K230"/>
    <mergeCell ref="K231:K232"/>
    <mergeCell ref="L231:L232"/>
    <mergeCell ref="N222:N223"/>
    <mergeCell ref="A226:N226"/>
    <mergeCell ref="N227:N228"/>
    <mergeCell ref="M227:M228"/>
    <mergeCell ref="L227:L228"/>
    <mergeCell ref="K227:K228"/>
    <mergeCell ref="M222:M223"/>
    <mergeCell ref="K222:K223"/>
    <mergeCell ref="L222:L223"/>
    <mergeCell ref="B222:B223"/>
    <mergeCell ref="C222:C223"/>
    <mergeCell ref="D222:D223"/>
    <mergeCell ref="E222:E223"/>
    <mergeCell ref="B227:B228"/>
    <mergeCell ref="C227:C228"/>
    <mergeCell ref="M208:M209"/>
    <mergeCell ref="L206:L207"/>
    <mergeCell ref="M206:M207"/>
    <mergeCell ref="L208:L209"/>
    <mergeCell ref="K208:K209"/>
    <mergeCell ref="K181:K182"/>
    <mergeCell ref="M175:M176"/>
    <mergeCell ref="L175:L176"/>
    <mergeCell ref="K175:K176"/>
    <mergeCell ref="M177:M178"/>
    <mergeCell ref="L177:L178"/>
    <mergeCell ref="K177:K178"/>
    <mergeCell ref="A205:N205"/>
    <mergeCell ref="N206:N207"/>
    <mergeCell ref="N208:N209"/>
    <mergeCell ref="N218:N219"/>
    <mergeCell ref="M218:M219"/>
    <mergeCell ref="L218:L219"/>
    <mergeCell ref="K218:K219"/>
    <mergeCell ref="K206:K207"/>
    <mergeCell ref="A208:A209"/>
    <mergeCell ref="A206:A207"/>
    <mergeCell ref="E210:E211"/>
    <mergeCell ref="E212:E213"/>
    <mergeCell ref="D212:D213"/>
    <mergeCell ref="B212:B213"/>
    <mergeCell ref="B210:B211"/>
    <mergeCell ref="C210:C211"/>
    <mergeCell ref="N136:N137"/>
    <mergeCell ref="N154:N155"/>
    <mergeCell ref="N158:N159"/>
    <mergeCell ref="N166:N167"/>
    <mergeCell ref="N168:N169"/>
    <mergeCell ref="L111:L112"/>
    <mergeCell ref="K111:K112"/>
    <mergeCell ref="K109:K110"/>
    <mergeCell ref="N130:N131"/>
    <mergeCell ref="A132:N132"/>
    <mergeCell ref="A130:A131"/>
    <mergeCell ref="C113:C114"/>
    <mergeCell ref="A113:A114"/>
    <mergeCell ref="A125:A126"/>
    <mergeCell ref="A123:A124"/>
    <mergeCell ref="A115:A116"/>
    <mergeCell ref="A121:A122"/>
    <mergeCell ref="B115:B116"/>
    <mergeCell ref="A127:A128"/>
    <mergeCell ref="C117:C118"/>
    <mergeCell ref="D115:D116"/>
    <mergeCell ref="N133:N135"/>
    <mergeCell ref="M130:M131"/>
    <mergeCell ref="L130:L131"/>
    <mergeCell ref="K130:K131"/>
    <mergeCell ref="M133:M135"/>
    <mergeCell ref="L133:L135"/>
    <mergeCell ref="N101:N102"/>
    <mergeCell ref="N103:N104"/>
    <mergeCell ref="N105:N106"/>
    <mergeCell ref="N109:N110"/>
    <mergeCell ref="N111:N112"/>
    <mergeCell ref="N99:N100"/>
    <mergeCell ref="M92:M94"/>
    <mergeCell ref="L92:L94"/>
    <mergeCell ref="K92:K94"/>
    <mergeCell ref="M95:M96"/>
    <mergeCell ref="L95:L96"/>
    <mergeCell ref="K95:K96"/>
    <mergeCell ref="M97:M98"/>
    <mergeCell ref="L97:L98"/>
    <mergeCell ref="K97:K98"/>
    <mergeCell ref="M99:M100"/>
    <mergeCell ref="L99:L100"/>
    <mergeCell ref="K99:K100"/>
    <mergeCell ref="C39:C40"/>
    <mergeCell ref="N45:N47"/>
    <mergeCell ref="N48:N49"/>
    <mergeCell ref="N53:N54"/>
    <mergeCell ref="N56:N57"/>
    <mergeCell ref="M45:M47"/>
    <mergeCell ref="E56:E57"/>
    <mergeCell ref="D39:D40"/>
    <mergeCell ref="D48:D49"/>
    <mergeCell ref="D53:D54"/>
    <mergeCell ref="F42:F43"/>
    <mergeCell ref="G42:G43"/>
    <mergeCell ref="M30:M31"/>
    <mergeCell ref="L32:L33"/>
    <mergeCell ref="M32:M33"/>
    <mergeCell ref="E32:E33"/>
    <mergeCell ref="E39:E40"/>
    <mergeCell ref="E34:E35"/>
    <mergeCell ref="E36:E37"/>
    <mergeCell ref="N32:N33"/>
    <mergeCell ref="N34:N35"/>
    <mergeCell ref="N36:N37"/>
    <mergeCell ref="N39:N40"/>
    <mergeCell ref="K32:K33"/>
    <mergeCell ref="M42:M44"/>
    <mergeCell ref="L36:L37"/>
    <mergeCell ref="K36:K37"/>
    <mergeCell ref="M34:M35"/>
    <mergeCell ref="L34:L35"/>
    <mergeCell ref="K34:K35"/>
    <mergeCell ref="K39:K40"/>
    <mergeCell ref="M36:M37"/>
    <mergeCell ref="M39:M40"/>
    <mergeCell ref="L39:L40"/>
    <mergeCell ref="A41:N41"/>
    <mergeCell ref="A34:A35"/>
    <mergeCell ref="A36:A37"/>
    <mergeCell ref="A39:A40"/>
    <mergeCell ref="B39:B40"/>
    <mergeCell ref="C36:C37"/>
    <mergeCell ref="K18:K20"/>
    <mergeCell ref="K21:K23"/>
    <mergeCell ref="E20:E21"/>
    <mergeCell ref="E22:E23"/>
    <mergeCell ref="D22:D23"/>
    <mergeCell ref="D20:D21"/>
    <mergeCell ref="D18:D19"/>
    <mergeCell ref="N18:N20"/>
    <mergeCell ref="N21:N23"/>
    <mergeCell ref="L21:L23"/>
    <mergeCell ref="M21:M23"/>
    <mergeCell ref="M18:M20"/>
    <mergeCell ref="L18:L20"/>
    <mergeCell ref="M9:M11"/>
    <mergeCell ref="M12:M14"/>
    <mergeCell ref="L12:L14"/>
    <mergeCell ref="M15:M17"/>
    <mergeCell ref="L15:L17"/>
    <mergeCell ref="A7:N7"/>
    <mergeCell ref="A8:N8"/>
    <mergeCell ref="N9:N11"/>
    <mergeCell ref="N12:N14"/>
    <mergeCell ref="N15:N17"/>
    <mergeCell ref="K9:K11"/>
    <mergeCell ref="K12:K14"/>
    <mergeCell ref="K15:K17"/>
    <mergeCell ref="E9:E11"/>
    <mergeCell ref="E12:E14"/>
    <mergeCell ref="D9:D11"/>
    <mergeCell ref="C9:C11"/>
    <mergeCell ref="B9:B11"/>
    <mergeCell ref="A9:A11"/>
    <mergeCell ref="A12:A14"/>
    <mergeCell ref="B12:B14"/>
    <mergeCell ref="A119:A120"/>
    <mergeCell ref="A89:A90"/>
    <mergeCell ref="B89:B90"/>
    <mergeCell ref="C89:C90"/>
    <mergeCell ref="D89:D90"/>
    <mergeCell ref="B113:B114"/>
    <mergeCell ref="A99:A100"/>
    <mergeCell ref="B117:B118"/>
    <mergeCell ref="E130:E131"/>
    <mergeCell ref="B82:B83"/>
    <mergeCell ref="D130:D131"/>
    <mergeCell ref="C130:C131"/>
    <mergeCell ref="C82:C83"/>
    <mergeCell ref="B130:B131"/>
    <mergeCell ref="C92:C94"/>
    <mergeCell ref="D92:D94"/>
    <mergeCell ref="D103:D104"/>
    <mergeCell ref="B97:B98"/>
    <mergeCell ref="D82:D83"/>
    <mergeCell ref="E82:E83"/>
    <mergeCell ref="B127:B128"/>
    <mergeCell ref="C127:C128"/>
    <mergeCell ref="D127:D128"/>
    <mergeCell ref="E89:E90"/>
    <mergeCell ref="B140:B141"/>
    <mergeCell ref="B123:B124"/>
    <mergeCell ref="C123:C124"/>
    <mergeCell ref="C121:C122"/>
    <mergeCell ref="C119:C120"/>
    <mergeCell ref="B119:B120"/>
    <mergeCell ref="B121:B122"/>
    <mergeCell ref="B138:B139"/>
    <mergeCell ref="B136:B137"/>
    <mergeCell ref="E127:E128"/>
    <mergeCell ref="E101:E102"/>
    <mergeCell ref="D101:D102"/>
    <mergeCell ref="E125:E126"/>
    <mergeCell ref="C125:C126"/>
    <mergeCell ref="D121:D122"/>
    <mergeCell ref="D117:D118"/>
    <mergeCell ref="E117:E118"/>
    <mergeCell ref="E115:E116"/>
    <mergeCell ref="D107:D108"/>
    <mergeCell ref="E107:E108"/>
    <mergeCell ref="E111:E112"/>
    <mergeCell ref="D111:D112"/>
    <mergeCell ref="C115:C116"/>
    <mergeCell ref="E103:E104"/>
    <mergeCell ref="E142:E143"/>
    <mergeCell ref="B74:B77"/>
    <mergeCell ref="E144:E145"/>
    <mergeCell ref="E146:E147"/>
    <mergeCell ref="C74:C77"/>
    <mergeCell ref="D146:D147"/>
    <mergeCell ref="C146:C147"/>
    <mergeCell ref="D74:D77"/>
    <mergeCell ref="B144:B145"/>
    <mergeCell ref="B146:B147"/>
    <mergeCell ref="E74:E77"/>
    <mergeCell ref="C144:C145"/>
    <mergeCell ref="C142:C143"/>
    <mergeCell ref="D144:D145"/>
    <mergeCell ref="B78:B81"/>
    <mergeCell ref="B125:B126"/>
    <mergeCell ref="D152:D153"/>
    <mergeCell ref="A67:A68"/>
    <mergeCell ref="E150:E151"/>
    <mergeCell ref="B67:B68"/>
    <mergeCell ref="D150:D151"/>
    <mergeCell ref="C67:C68"/>
    <mergeCell ref="C150:C151"/>
    <mergeCell ref="D67:D68"/>
    <mergeCell ref="B150:B151"/>
    <mergeCell ref="E67:E68"/>
    <mergeCell ref="A148:A149"/>
    <mergeCell ref="A146:A147"/>
    <mergeCell ref="E69:E70"/>
    <mergeCell ref="A144:A145"/>
    <mergeCell ref="A142:A143"/>
    <mergeCell ref="B142:B143"/>
    <mergeCell ref="E164:E165"/>
    <mergeCell ref="A60:A61"/>
    <mergeCell ref="D164:D165"/>
    <mergeCell ref="B60:B61"/>
    <mergeCell ref="C164:C165"/>
    <mergeCell ref="B164:B165"/>
    <mergeCell ref="C60:C61"/>
    <mergeCell ref="A164:A165"/>
    <mergeCell ref="D60:D61"/>
    <mergeCell ref="E60:E61"/>
    <mergeCell ref="A162:A163"/>
    <mergeCell ref="A160:A161"/>
    <mergeCell ref="B160:B161"/>
    <mergeCell ref="A62:A63"/>
    <mergeCell ref="B162:B163"/>
    <mergeCell ref="C162:C163"/>
    <mergeCell ref="E162:E163"/>
    <mergeCell ref="D62:D63"/>
    <mergeCell ref="E160:E161"/>
    <mergeCell ref="D156:D157"/>
    <mergeCell ref="E156:E157"/>
    <mergeCell ref="E154:E155"/>
    <mergeCell ref="D154:D155"/>
    <mergeCell ref="D138:D139"/>
    <mergeCell ref="D140:D141"/>
    <mergeCell ref="D113:D114"/>
    <mergeCell ref="E113:E114"/>
    <mergeCell ref="D142:D143"/>
    <mergeCell ref="D162:D163"/>
    <mergeCell ref="E105:E106"/>
    <mergeCell ref="E152:E153"/>
    <mergeCell ref="E64:E65"/>
    <mergeCell ref="A150:A151"/>
    <mergeCell ref="D160:D161"/>
    <mergeCell ref="E62:E63"/>
    <mergeCell ref="C160:C161"/>
    <mergeCell ref="E158:E159"/>
    <mergeCell ref="D158:D159"/>
    <mergeCell ref="C158:C159"/>
    <mergeCell ref="C154:C155"/>
    <mergeCell ref="C136:C137"/>
    <mergeCell ref="C138:C139"/>
    <mergeCell ref="C140:C141"/>
    <mergeCell ref="C64:C65"/>
    <mergeCell ref="C156:C157"/>
    <mergeCell ref="B62:B63"/>
    <mergeCell ref="C62:C63"/>
    <mergeCell ref="B154:B155"/>
    <mergeCell ref="A154:A155"/>
    <mergeCell ref="B156:B157"/>
    <mergeCell ref="C152:C153"/>
    <mergeCell ref="B152:B153"/>
    <mergeCell ref="A152:A153"/>
    <mergeCell ref="A166:A167"/>
    <mergeCell ref="B53:B54"/>
    <mergeCell ref="A168:A169"/>
    <mergeCell ref="A170:A171"/>
    <mergeCell ref="C53:C54"/>
    <mergeCell ref="B166:B167"/>
    <mergeCell ref="B168:B169"/>
    <mergeCell ref="A56:A57"/>
    <mergeCell ref="B56:B57"/>
    <mergeCell ref="C56:C57"/>
    <mergeCell ref="C168:C169"/>
    <mergeCell ref="A64:A65"/>
    <mergeCell ref="B158:B159"/>
    <mergeCell ref="A158:A159"/>
    <mergeCell ref="B64:B65"/>
    <mergeCell ref="A156:A157"/>
    <mergeCell ref="E193:E194"/>
    <mergeCell ref="E195:E196"/>
    <mergeCell ref="D195:D196"/>
    <mergeCell ref="C193:C194"/>
    <mergeCell ref="C195:C196"/>
    <mergeCell ref="D193:D194"/>
    <mergeCell ref="B193:B194"/>
    <mergeCell ref="C197:C198"/>
    <mergeCell ref="A195:A196"/>
    <mergeCell ref="B195:B196"/>
    <mergeCell ref="A245:A246"/>
    <mergeCell ref="A243:A244"/>
    <mergeCell ref="A241:A242"/>
    <mergeCell ref="A239:A240"/>
    <mergeCell ref="A210:A211"/>
    <mergeCell ref="A227:A228"/>
    <mergeCell ref="A212:A213"/>
    <mergeCell ref="A222:A223"/>
    <mergeCell ref="A220:A221"/>
    <mergeCell ref="A216:A217"/>
    <mergeCell ref="A214:A215"/>
    <mergeCell ref="A224:A225"/>
    <mergeCell ref="A237:A238"/>
    <mergeCell ref="A235:A236"/>
    <mergeCell ref="A233:A234"/>
    <mergeCell ref="A231:A232"/>
    <mergeCell ref="A255:A256"/>
    <mergeCell ref="A253:A254"/>
    <mergeCell ref="A251:A252"/>
    <mergeCell ref="A249:A250"/>
    <mergeCell ref="A247:A248"/>
    <mergeCell ref="A229:A230"/>
    <mergeCell ref="C18:C19"/>
    <mergeCell ref="C20:C21"/>
    <mergeCell ref="C22:C23"/>
    <mergeCell ref="E15:E17"/>
    <mergeCell ref="D15:D17"/>
    <mergeCell ref="E18:E19"/>
    <mergeCell ref="A30:A31"/>
    <mergeCell ref="A32:A33"/>
    <mergeCell ref="A15:A17"/>
    <mergeCell ref="B15:B17"/>
    <mergeCell ref="C15:C17"/>
    <mergeCell ref="C24:C25"/>
    <mergeCell ref="C26:C27"/>
    <mergeCell ref="C28:C29"/>
    <mergeCell ref="C30:C31"/>
    <mergeCell ref="B251:B252"/>
    <mergeCell ref="C247:C248"/>
    <mergeCell ref="C251:C252"/>
    <mergeCell ref="C249:C250"/>
    <mergeCell ref="B20:B21"/>
    <mergeCell ref="B22:B23"/>
    <mergeCell ref="B24:B25"/>
    <mergeCell ref="B26:B27"/>
    <mergeCell ref="B216:B217"/>
    <mergeCell ref="C216:C217"/>
    <mergeCell ref="C229:C230"/>
    <mergeCell ref="B229:B230"/>
    <mergeCell ref="C224:C225"/>
    <mergeCell ref="B224:B225"/>
    <mergeCell ref="C220:C221"/>
    <mergeCell ref="C199:C200"/>
    <mergeCell ref="E218:E219"/>
    <mergeCell ref="E216:E217"/>
    <mergeCell ref="A26:A27"/>
    <mergeCell ref="A28:A29"/>
    <mergeCell ref="C12:C14"/>
    <mergeCell ref="D12:D14"/>
    <mergeCell ref="D218:D219"/>
    <mergeCell ref="D216:D217"/>
    <mergeCell ref="A18:A19"/>
    <mergeCell ref="B18:B19"/>
    <mergeCell ref="A20:A21"/>
    <mergeCell ref="A22:A23"/>
    <mergeCell ref="A24:A25"/>
    <mergeCell ref="D199:D200"/>
    <mergeCell ref="D197:D198"/>
    <mergeCell ref="A193:A194"/>
    <mergeCell ref="C32:C33"/>
    <mergeCell ref="E28:E29"/>
    <mergeCell ref="E30:E31"/>
    <mergeCell ref="D36:D37"/>
    <mergeCell ref="D34:D35"/>
    <mergeCell ref="D32:D33"/>
    <mergeCell ref="D30:D31"/>
    <mergeCell ref="D28:D29"/>
    <mergeCell ref="C34:C35"/>
    <mergeCell ref="B28:B29"/>
    <mergeCell ref="B30:B31"/>
    <mergeCell ref="B32:B33"/>
    <mergeCell ref="B34:B35"/>
    <mergeCell ref="B36:B37"/>
    <mergeCell ref="E251:E252"/>
    <mergeCell ref="E249:E250"/>
    <mergeCell ref="D249:D250"/>
    <mergeCell ref="D251:D252"/>
    <mergeCell ref="E220:E221"/>
    <mergeCell ref="E247:E248"/>
    <mergeCell ref="E245:E246"/>
    <mergeCell ref="D227:D228"/>
    <mergeCell ref="E227:E228"/>
    <mergeCell ref="E229:E230"/>
    <mergeCell ref="D229:D230"/>
    <mergeCell ref="D224:D225"/>
    <mergeCell ref="E224:E225"/>
    <mergeCell ref="D233:D234"/>
    <mergeCell ref="E243:E244"/>
    <mergeCell ref="D237:D238"/>
    <mergeCell ref="E255:E256"/>
    <mergeCell ref="E253:E254"/>
    <mergeCell ref="D253:D254"/>
    <mergeCell ref="C253:C254"/>
    <mergeCell ref="B253:B254"/>
    <mergeCell ref="B255:B256"/>
    <mergeCell ref="C255:C256"/>
    <mergeCell ref="D255:D256"/>
    <mergeCell ref="B214:B215"/>
    <mergeCell ref="D247:D248"/>
    <mergeCell ref="D245:D246"/>
    <mergeCell ref="C245:C246"/>
    <mergeCell ref="E24:E25"/>
    <mergeCell ref="E26:E27"/>
    <mergeCell ref="D26:D27"/>
    <mergeCell ref="D24:D25"/>
    <mergeCell ref="D210:D211"/>
    <mergeCell ref="E177:E178"/>
    <mergeCell ref="D177:D178"/>
    <mergeCell ref="D125:D126"/>
    <mergeCell ref="E123:E124"/>
    <mergeCell ref="D123:D124"/>
    <mergeCell ref="E119:E120"/>
    <mergeCell ref="D119:D120"/>
    <mergeCell ref="E214:E215"/>
    <mergeCell ref="D214:D215"/>
    <mergeCell ref="C214:C215"/>
    <mergeCell ref="E208:E209"/>
    <mergeCell ref="D208:D209"/>
    <mergeCell ref="C208:C209"/>
    <mergeCell ref="C212:C213"/>
    <mergeCell ref="D201:D202"/>
    <mergeCell ref="D203:D204"/>
    <mergeCell ref="E201:E202"/>
    <mergeCell ref="E203:E204"/>
    <mergeCell ref="C203:C204"/>
    <mergeCell ref="C201:C202"/>
    <mergeCell ref="E197:E198"/>
    <mergeCell ref="E199:E200"/>
    <mergeCell ref="B220:B221"/>
    <mergeCell ref="A218:A219"/>
    <mergeCell ref="B218:B219"/>
    <mergeCell ref="C218:C219"/>
    <mergeCell ref="D220:D221"/>
    <mergeCell ref="B203:B204"/>
    <mergeCell ref="B199:B200"/>
    <mergeCell ref="A199:A200"/>
    <mergeCell ref="A197:A198"/>
    <mergeCell ref="B197:B198"/>
    <mergeCell ref="A201:A202"/>
    <mergeCell ref="B201:B202"/>
    <mergeCell ref="A203:A204"/>
    <mergeCell ref="B208:B209"/>
    <mergeCell ref="A191:A192"/>
    <mergeCell ref="A189:A190"/>
    <mergeCell ref="B189:B190"/>
    <mergeCell ref="B191:B192"/>
    <mergeCell ref="C191:C192"/>
    <mergeCell ref="C189:C190"/>
    <mergeCell ref="A187:A188"/>
    <mergeCell ref="B187:B188"/>
    <mergeCell ref="C187:C188"/>
    <mergeCell ref="D187:D188"/>
    <mergeCell ref="C185:C186"/>
    <mergeCell ref="B185:B186"/>
    <mergeCell ref="A177:A178"/>
    <mergeCell ref="D172:D173"/>
    <mergeCell ref="E172:E173"/>
    <mergeCell ref="A175:A176"/>
    <mergeCell ref="C177:C178"/>
    <mergeCell ref="C175:C176"/>
    <mergeCell ref="B175:B176"/>
    <mergeCell ref="B177:B178"/>
    <mergeCell ref="A172:A173"/>
    <mergeCell ref="A174:N174"/>
    <mergeCell ref="N175:N176"/>
    <mergeCell ref="N177:N178"/>
    <mergeCell ref="E175:E176"/>
    <mergeCell ref="D175:D176"/>
    <mergeCell ref="B172:B173"/>
    <mergeCell ref="A179:A180"/>
    <mergeCell ref="A181:A182"/>
    <mergeCell ref="A183:A184"/>
    <mergeCell ref="A185:A186"/>
    <mergeCell ref="C179:C180"/>
    <mergeCell ref="C183:C184"/>
    <mergeCell ref="B183:B184"/>
    <mergeCell ref="B181:B182"/>
    <mergeCell ref="C181:C182"/>
    <mergeCell ref="B179:B180"/>
    <mergeCell ref="C166:C167"/>
    <mergeCell ref="D166:D167"/>
    <mergeCell ref="E166:E167"/>
    <mergeCell ref="E168:E169"/>
    <mergeCell ref="C172:C173"/>
    <mergeCell ref="E170:E171"/>
    <mergeCell ref="D170:D171"/>
    <mergeCell ref="D168:D169"/>
    <mergeCell ref="C170:C171"/>
    <mergeCell ref="A133:A135"/>
    <mergeCell ref="A136:A137"/>
    <mergeCell ref="A138:A139"/>
    <mergeCell ref="E148:E149"/>
    <mergeCell ref="D148:D149"/>
    <mergeCell ref="C148:C149"/>
    <mergeCell ref="B148:B149"/>
    <mergeCell ref="E140:E141"/>
    <mergeCell ref="E138:E139"/>
    <mergeCell ref="E136:E137"/>
    <mergeCell ref="E133:E135"/>
    <mergeCell ref="D133:D135"/>
    <mergeCell ref="D136:D137"/>
    <mergeCell ref="C133:C135"/>
    <mergeCell ref="B133:B135"/>
    <mergeCell ref="A140:A141"/>
    <mergeCell ref="A92:A94"/>
    <mergeCell ref="B92:B94"/>
    <mergeCell ref="C97:C98"/>
    <mergeCell ref="D97:D98"/>
    <mergeCell ref="E97:E98"/>
    <mergeCell ref="C95:C96"/>
    <mergeCell ref="D95:D96"/>
    <mergeCell ref="E95:E96"/>
    <mergeCell ref="A95:A96"/>
    <mergeCell ref="A97:A98"/>
    <mergeCell ref="B95:B96"/>
    <mergeCell ref="B111:B112"/>
    <mergeCell ref="C111:C112"/>
    <mergeCell ref="A107:A108"/>
    <mergeCell ref="B107:B108"/>
    <mergeCell ref="C107:C108"/>
    <mergeCell ref="B249:B250"/>
    <mergeCell ref="B247:B248"/>
    <mergeCell ref="D241:D242"/>
    <mergeCell ref="C239:C240"/>
    <mergeCell ref="C241:C242"/>
    <mergeCell ref="B239:B240"/>
    <mergeCell ref="B241:B242"/>
    <mergeCell ref="B245:B246"/>
    <mergeCell ref="B243:B244"/>
    <mergeCell ref="C243:C244"/>
    <mergeCell ref="D243:D244"/>
    <mergeCell ref="C235:C236"/>
    <mergeCell ref="D235:D236"/>
    <mergeCell ref="E235:E236"/>
    <mergeCell ref="B235:B236"/>
    <mergeCell ref="D64:D65"/>
    <mergeCell ref="A91:N91"/>
    <mergeCell ref="N92:N94"/>
    <mergeCell ref="N95:N96"/>
    <mergeCell ref="N97:N98"/>
    <mergeCell ref="E231:E232"/>
    <mergeCell ref="C233:C234"/>
    <mergeCell ref="B233:B234"/>
    <mergeCell ref="B231:B232"/>
    <mergeCell ref="C231:C232"/>
    <mergeCell ref="D231:D232"/>
    <mergeCell ref="E233:E234"/>
    <mergeCell ref="C237:C238"/>
    <mergeCell ref="B237:B238"/>
    <mergeCell ref="E241:E242"/>
    <mergeCell ref="E239:E240"/>
    <mergeCell ref="D239:D240"/>
    <mergeCell ref="E237:E238"/>
    <mergeCell ref="B206:B207"/>
    <mergeCell ref="C206:C207"/>
    <mergeCell ref="E206:E207"/>
    <mergeCell ref="D206:D207"/>
    <mergeCell ref="E45:E47"/>
    <mergeCell ref="C84:C85"/>
    <mergeCell ref="D84:D85"/>
    <mergeCell ref="E84:E85"/>
    <mergeCell ref="E86:E87"/>
    <mergeCell ref="D105:D106"/>
    <mergeCell ref="C105:C106"/>
    <mergeCell ref="C103:C104"/>
    <mergeCell ref="D99:D100"/>
    <mergeCell ref="E99:E100"/>
    <mergeCell ref="E92:E94"/>
    <mergeCell ref="C99:C100"/>
    <mergeCell ref="A86:A87"/>
    <mergeCell ref="B86:B87"/>
    <mergeCell ref="C86:C87"/>
    <mergeCell ref="D86:D87"/>
    <mergeCell ref="A78:A81"/>
    <mergeCell ref="C78:C81"/>
    <mergeCell ref="D78:D81"/>
    <mergeCell ref="A84:A85"/>
    <mergeCell ref="B84:B85"/>
    <mergeCell ref="A82:A83"/>
    <mergeCell ref="A53:A54"/>
    <mergeCell ref="A74:A77"/>
    <mergeCell ref="E48:E49"/>
    <mergeCell ref="E53:E54"/>
    <mergeCell ref="A59:N59"/>
    <mergeCell ref="K48:K49"/>
    <mergeCell ref="K53:K54"/>
    <mergeCell ref="N74:N77"/>
    <mergeCell ref="N62:N63"/>
    <mergeCell ref="N60:N61"/>
    <mergeCell ref="N64:N65"/>
    <mergeCell ref="D56:D57"/>
    <mergeCell ref="C48:C49"/>
    <mergeCell ref="A48:A49"/>
    <mergeCell ref="B48:B49"/>
    <mergeCell ref="M74:M77"/>
    <mergeCell ref="A117:A118"/>
    <mergeCell ref="A69:A70"/>
    <mergeCell ref="D189:D190"/>
    <mergeCell ref="E189:E190"/>
    <mergeCell ref="A103:A104"/>
    <mergeCell ref="A105:A106"/>
    <mergeCell ref="C101:C102"/>
    <mergeCell ref="B101:B102"/>
    <mergeCell ref="A101:A102"/>
    <mergeCell ref="A109:A110"/>
    <mergeCell ref="B109:B110"/>
    <mergeCell ref="C109:C110"/>
    <mergeCell ref="D109:D110"/>
    <mergeCell ref="E109:E110"/>
    <mergeCell ref="A111:A112"/>
    <mergeCell ref="B69:B70"/>
    <mergeCell ref="B99:B100"/>
    <mergeCell ref="D191:D192"/>
    <mergeCell ref="E191:E192"/>
    <mergeCell ref="E187:E188"/>
    <mergeCell ref="B105:B106"/>
    <mergeCell ref="B103:B104"/>
    <mergeCell ref="E121:E122"/>
    <mergeCell ref="E185:E186"/>
    <mergeCell ref="E183:E184"/>
    <mergeCell ref="E181:E182"/>
    <mergeCell ref="E179:E180"/>
    <mergeCell ref="D179:D180"/>
    <mergeCell ref="D181:D182"/>
    <mergeCell ref="D183:D184"/>
    <mergeCell ref="D185:D186"/>
    <mergeCell ref="B170:B171"/>
    <mergeCell ref="N78:N81"/>
    <mergeCell ref="N84:N85"/>
    <mergeCell ref="A73:N73"/>
    <mergeCell ref="C69:C70"/>
    <mergeCell ref="D69:D70"/>
    <mergeCell ref="E78:E81"/>
    <mergeCell ref="M84:M85"/>
    <mergeCell ref="L84:L85"/>
    <mergeCell ref="K84:K85"/>
    <mergeCell ref="M78:M81"/>
    <mergeCell ref="L78:L81"/>
    <mergeCell ref="K78:K81"/>
    <mergeCell ref="L74:L77"/>
    <mergeCell ref="K74:K77"/>
    <mergeCell ref="A42:A44"/>
    <mergeCell ref="C42:C44"/>
    <mergeCell ref="D42:D44"/>
    <mergeCell ref="E42:E44"/>
    <mergeCell ref="A45:A47"/>
    <mergeCell ref="B45:B47"/>
    <mergeCell ref="C45:C47"/>
    <mergeCell ref="D45:D47"/>
    <mergeCell ref="B42:B44"/>
    <mergeCell ref="G45:G46"/>
    <mergeCell ref="J45:J47"/>
    <mergeCell ref="K28:K29"/>
    <mergeCell ref="L26:L27"/>
    <mergeCell ref="K26:K27"/>
    <mergeCell ref="L28:L29"/>
    <mergeCell ref="K30:K31"/>
    <mergeCell ref="L30:L31"/>
    <mergeCell ref="J9:J11"/>
    <mergeCell ref="J42:J44"/>
    <mergeCell ref="H42:H43"/>
    <mergeCell ref="N42:N44"/>
    <mergeCell ref="L64:L65"/>
    <mergeCell ref="H45:H46"/>
    <mergeCell ref="M24:M25"/>
    <mergeCell ref="M26:M27"/>
    <mergeCell ref="L24:L25"/>
    <mergeCell ref="K24:K25"/>
    <mergeCell ref="M28:M29"/>
    <mergeCell ref="N24:N25"/>
    <mergeCell ref="N26:N27"/>
    <mergeCell ref="N28:N29"/>
    <mergeCell ref="N30:N31"/>
    <mergeCell ref="L9:L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D1C52-B687-4745-9F40-A1F0B9C6F5B2}">
  <dimension ref="A1:L58"/>
  <sheetViews>
    <sheetView topLeftCell="A8" zoomScale="85" zoomScaleNormal="85" workbookViewId="0">
      <selection activeCell="J11" sqref="J11"/>
    </sheetView>
  </sheetViews>
  <sheetFormatPr defaultRowHeight="14.4" x14ac:dyDescent="0.3"/>
  <cols>
    <col min="1" max="1" width="5.5546875" customWidth="1"/>
    <col min="2" max="2" width="21.6640625" customWidth="1"/>
    <col min="3" max="3" width="25" customWidth="1"/>
    <col min="4" max="4" width="28.109375" customWidth="1"/>
    <col min="5" max="5" width="33.88671875" customWidth="1"/>
    <col min="6" max="6" width="12.44140625" customWidth="1"/>
    <col min="7" max="7" width="13" customWidth="1"/>
    <col min="8" max="8" width="13.109375" customWidth="1"/>
    <col min="9" max="9" width="17" customWidth="1"/>
    <col min="10" max="10" width="28.109375" customWidth="1"/>
  </cols>
  <sheetData>
    <row r="1" spans="1:12" ht="15.6" x14ac:dyDescent="0.3">
      <c r="A1" s="162" t="s">
        <v>722</v>
      </c>
      <c r="B1" s="162"/>
      <c r="C1" s="162"/>
      <c r="D1" s="162"/>
      <c r="E1" s="162"/>
      <c r="F1" s="162"/>
      <c r="G1" s="162"/>
      <c r="H1" s="162"/>
      <c r="I1" s="162"/>
      <c r="J1" s="162"/>
    </row>
    <row r="2" spans="1:12" x14ac:dyDescent="0.3">
      <c r="A2" s="163" t="s">
        <v>723</v>
      </c>
      <c r="B2" s="164"/>
      <c r="C2" s="165" t="s">
        <v>724</v>
      </c>
      <c r="D2" s="166"/>
      <c r="E2" s="167"/>
      <c r="F2" s="7" t="s">
        <v>725</v>
      </c>
      <c r="G2" s="165" t="s">
        <v>726</v>
      </c>
      <c r="H2" s="166"/>
      <c r="I2" s="166"/>
      <c r="J2" s="168"/>
    </row>
    <row r="3" spans="1:12" ht="27.6" x14ac:dyDescent="0.3">
      <c r="A3" s="169" t="s">
        <v>727</v>
      </c>
      <c r="B3" s="170"/>
      <c r="C3" s="171"/>
      <c r="D3" s="172"/>
      <c r="E3" s="173"/>
      <c r="F3" s="8" t="s">
        <v>728</v>
      </c>
      <c r="G3" s="171"/>
      <c r="H3" s="172"/>
      <c r="I3" s="172"/>
      <c r="J3" s="174"/>
    </row>
    <row r="4" spans="1:12" ht="27.6" x14ac:dyDescent="0.3">
      <c r="A4" s="175" t="s">
        <v>729</v>
      </c>
      <c r="B4" s="176"/>
      <c r="C4" s="177"/>
      <c r="D4" s="178"/>
      <c r="E4" s="179"/>
      <c r="F4" s="9" t="s">
        <v>730</v>
      </c>
      <c r="G4" s="180" t="s">
        <v>731</v>
      </c>
      <c r="H4" s="178"/>
      <c r="I4" s="178"/>
      <c r="J4" s="181"/>
    </row>
    <row r="7" spans="1:12" ht="15.6" x14ac:dyDescent="0.3">
      <c r="A7" s="182" t="s">
        <v>732</v>
      </c>
      <c r="B7" s="182"/>
      <c r="C7" s="182"/>
      <c r="D7" s="182"/>
      <c r="E7" s="182"/>
      <c r="F7" s="182"/>
      <c r="G7" s="182"/>
      <c r="H7" s="182"/>
      <c r="I7" s="182"/>
      <c r="J7" s="182"/>
    </row>
    <row r="8" spans="1:12" x14ac:dyDescent="0.3">
      <c r="A8" s="10" t="s">
        <v>16</v>
      </c>
      <c r="B8" s="11" t="s">
        <v>17</v>
      </c>
      <c r="C8" s="11" t="s">
        <v>733</v>
      </c>
      <c r="D8" s="11" t="s">
        <v>734</v>
      </c>
      <c r="E8" s="11" t="s">
        <v>735</v>
      </c>
      <c r="F8" s="11" t="s">
        <v>736</v>
      </c>
      <c r="G8" s="11" t="s">
        <v>737</v>
      </c>
      <c r="H8" s="12" t="s">
        <v>26</v>
      </c>
      <c r="I8" s="12" t="s">
        <v>738</v>
      </c>
      <c r="J8" s="13" t="s">
        <v>739</v>
      </c>
    </row>
    <row r="9" spans="1:12" x14ac:dyDescent="0.3">
      <c r="A9" s="183" t="s">
        <v>30</v>
      </c>
      <c r="B9" s="184"/>
      <c r="C9" s="184"/>
      <c r="D9" s="184"/>
      <c r="E9" s="184"/>
      <c r="F9" s="184"/>
      <c r="G9" s="184"/>
      <c r="H9" s="184"/>
      <c r="I9" s="184"/>
      <c r="J9" s="185"/>
    </row>
    <row r="10" spans="1:12" ht="17.399999999999999" customHeight="1" x14ac:dyDescent="0.3">
      <c r="A10" s="188" t="s">
        <v>31</v>
      </c>
      <c r="B10" s="189"/>
      <c r="C10" s="189"/>
      <c r="D10" s="189"/>
      <c r="E10" s="189"/>
      <c r="F10" s="189"/>
      <c r="G10" s="189"/>
      <c r="H10" s="189"/>
      <c r="I10" s="189"/>
      <c r="J10" s="189"/>
    </row>
    <row r="11" spans="1:12" ht="27" x14ac:dyDescent="0.3">
      <c r="A11" s="20">
        <v>1</v>
      </c>
      <c r="B11" s="19" t="s">
        <v>32</v>
      </c>
      <c r="C11" s="19" t="s">
        <v>740</v>
      </c>
      <c r="D11" s="19" t="s">
        <v>741</v>
      </c>
      <c r="E11" s="19" t="s">
        <v>742</v>
      </c>
      <c r="F11" s="19" t="s">
        <v>743</v>
      </c>
      <c r="G11" s="19" t="s">
        <v>744</v>
      </c>
      <c r="H11" s="19"/>
      <c r="I11" s="20"/>
      <c r="K11">
        <f>SUM(I11:I15)</f>
        <v>18</v>
      </c>
      <c r="L11">
        <f>SUM(K11:K58)</f>
        <v>126</v>
      </c>
    </row>
    <row r="12" spans="1:12" ht="27" x14ac:dyDescent="0.3">
      <c r="A12" s="20">
        <v>2</v>
      </c>
      <c r="B12" s="19" t="s">
        <v>45</v>
      </c>
      <c r="C12" s="19" t="s">
        <v>740</v>
      </c>
      <c r="D12" s="19" t="s">
        <v>745</v>
      </c>
      <c r="E12" s="19" t="s">
        <v>746</v>
      </c>
      <c r="F12" t="s">
        <v>747</v>
      </c>
      <c r="G12" s="19" t="s">
        <v>744</v>
      </c>
      <c r="H12" s="19"/>
      <c r="I12" s="20">
        <v>3</v>
      </c>
    </row>
    <row r="13" spans="1:12" ht="27" x14ac:dyDescent="0.3">
      <c r="A13" s="20">
        <v>3</v>
      </c>
      <c r="B13" s="19" t="s">
        <v>52</v>
      </c>
      <c r="C13" s="19" t="s">
        <v>740</v>
      </c>
      <c r="D13" s="19" t="s">
        <v>748</v>
      </c>
      <c r="E13" s="19" t="s">
        <v>749</v>
      </c>
      <c r="F13" t="s">
        <v>747</v>
      </c>
      <c r="G13" s="19" t="s">
        <v>750</v>
      </c>
      <c r="H13" s="19"/>
      <c r="I13" s="20">
        <v>3</v>
      </c>
    </row>
    <row r="14" spans="1:12" ht="27" x14ac:dyDescent="0.3">
      <c r="A14" s="20">
        <v>4</v>
      </c>
      <c r="B14" s="19" t="s">
        <v>62</v>
      </c>
      <c r="C14" s="19" t="s">
        <v>740</v>
      </c>
      <c r="D14" s="19" t="s">
        <v>751</v>
      </c>
      <c r="E14" s="19" t="s">
        <v>752</v>
      </c>
      <c r="F14" t="s">
        <v>747</v>
      </c>
      <c r="G14" s="19" t="s">
        <v>744</v>
      </c>
      <c r="H14" s="19"/>
      <c r="I14" s="20">
        <v>8</v>
      </c>
    </row>
    <row r="15" spans="1:12" ht="27" x14ac:dyDescent="0.3">
      <c r="A15" s="20">
        <v>5</v>
      </c>
      <c r="B15" s="19" t="s">
        <v>73</v>
      </c>
      <c r="C15" s="19" t="s">
        <v>740</v>
      </c>
      <c r="D15" s="19" t="s">
        <v>753</v>
      </c>
      <c r="E15" s="19" t="s">
        <v>754</v>
      </c>
      <c r="F15" t="s">
        <v>755</v>
      </c>
      <c r="G15" s="19" t="s">
        <v>750</v>
      </c>
      <c r="H15" s="19"/>
      <c r="I15" s="20">
        <v>4</v>
      </c>
    </row>
    <row r="16" spans="1:12" ht="16.2" customHeight="1" x14ac:dyDescent="0.3">
      <c r="A16" s="186" t="s">
        <v>125</v>
      </c>
      <c r="B16" s="187"/>
      <c r="C16" s="187"/>
      <c r="D16" s="187"/>
      <c r="E16" s="187"/>
      <c r="F16" s="187"/>
      <c r="G16" s="187"/>
      <c r="H16" s="187"/>
      <c r="I16" s="187"/>
      <c r="J16" s="187"/>
    </row>
    <row r="17" spans="1:11" ht="27" x14ac:dyDescent="0.3">
      <c r="A17" s="20">
        <v>6</v>
      </c>
      <c r="B17" s="19" t="s">
        <v>126</v>
      </c>
      <c r="C17" s="19" t="s">
        <v>756</v>
      </c>
      <c r="D17" s="19" t="s">
        <v>128</v>
      </c>
      <c r="E17" s="19" t="s">
        <v>757</v>
      </c>
      <c r="F17" t="s">
        <v>743</v>
      </c>
      <c r="G17" s="19" t="s">
        <v>744</v>
      </c>
      <c r="H17" s="19"/>
      <c r="I17" s="20">
        <v>3</v>
      </c>
      <c r="K17">
        <f>SUM(I17:I21)</f>
        <v>13</v>
      </c>
    </row>
    <row r="18" spans="1:11" ht="27" x14ac:dyDescent="0.3">
      <c r="A18" s="20">
        <v>7</v>
      </c>
      <c r="B18" s="19" t="s">
        <v>134</v>
      </c>
      <c r="C18" s="19" t="s">
        <v>756</v>
      </c>
      <c r="D18" s="19" t="s">
        <v>758</v>
      </c>
      <c r="E18" s="19" t="s">
        <v>759</v>
      </c>
      <c r="F18" t="s">
        <v>747</v>
      </c>
      <c r="G18" s="19" t="s">
        <v>744</v>
      </c>
      <c r="H18" s="19"/>
      <c r="I18" s="20">
        <v>4</v>
      </c>
    </row>
    <row r="19" spans="1:11" ht="27" x14ac:dyDescent="0.3">
      <c r="A19" s="20">
        <v>8</v>
      </c>
      <c r="B19" s="19" t="s">
        <v>144</v>
      </c>
      <c r="C19" s="19" t="s">
        <v>756</v>
      </c>
      <c r="D19" s="19" t="s">
        <v>760</v>
      </c>
      <c r="E19" s="19" t="s">
        <v>761</v>
      </c>
      <c r="F19" t="s">
        <v>762</v>
      </c>
      <c r="G19" s="19" t="s">
        <v>750</v>
      </c>
      <c r="H19" s="19"/>
      <c r="I19" s="20">
        <v>2</v>
      </c>
    </row>
    <row r="20" spans="1:11" ht="27" x14ac:dyDescent="0.3">
      <c r="A20" s="20">
        <v>9</v>
      </c>
      <c r="B20" s="19" t="s">
        <v>151</v>
      </c>
      <c r="C20" s="19" t="s">
        <v>756</v>
      </c>
      <c r="D20" s="19" t="s">
        <v>763</v>
      </c>
      <c r="E20" s="19" t="s">
        <v>764</v>
      </c>
      <c r="F20" t="s">
        <v>743</v>
      </c>
      <c r="G20" s="19" t="s">
        <v>744</v>
      </c>
      <c r="H20" s="19"/>
      <c r="I20" s="20">
        <v>2</v>
      </c>
    </row>
    <row r="21" spans="1:11" ht="40.200000000000003" x14ac:dyDescent="0.3">
      <c r="A21" s="20">
        <v>10</v>
      </c>
      <c r="B21" s="19" t="s">
        <v>157</v>
      </c>
      <c r="C21" s="19" t="s">
        <v>756</v>
      </c>
      <c r="D21" s="19" t="s">
        <v>765</v>
      </c>
      <c r="E21" s="19" t="s">
        <v>766</v>
      </c>
      <c r="F21" t="s">
        <v>747</v>
      </c>
      <c r="G21" s="19" t="s">
        <v>750</v>
      </c>
      <c r="H21" s="19"/>
      <c r="I21" s="20">
        <v>2</v>
      </c>
    </row>
    <row r="22" spans="1:11" ht="19.2" customHeight="1" x14ac:dyDescent="0.3">
      <c r="A22" s="186" t="s">
        <v>185</v>
      </c>
      <c r="B22" s="187"/>
      <c r="C22" s="187"/>
      <c r="D22" s="187"/>
      <c r="E22" s="187"/>
      <c r="F22" s="187"/>
      <c r="G22" s="187"/>
      <c r="H22" s="187"/>
      <c r="I22" s="187"/>
      <c r="J22" s="187"/>
    </row>
    <row r="23" spans="1:11" ht="27" x14ac:dyDescent="0.3">
      <c r="A23" s="20">
        <v>11</v>
      </c>
      <c r="B23" s="19" t="s">
        <v>186</v>
      </c>
      <c r="C23" s="19" t="s">
        <v>767</v>
      </c>
      <c r="D23" s="19" t="s">
        <v>768</v>
      </c>
      <c r="E23" s="19" t="s">
        <v>769</v>
      </c>
      <c r="F23" t="s">
        <v>743</v>
      </c>
      <c r="G23" s="19" t="s">
        <v>744</v>
      </c>
      <c r="H23" s="19"/>
      <c r="I23" s="20">
        <v>3</v>
      </c>
      <c r="K23">
        <f>SUM(I23:I26)</f>
        <v>10</v>
      </c>
    </row>
    <row r="24" spans="1:11" ht="27" x14ac:dyDescent="0.3">
      <c r="A24" s="20">
        <v>12</v>
      </c>
      <c r="B24" s="19" t="s">
        <v>193</v>
      </c>
      <c r="C24" s="19" t="s">
        <v>767</v>
      </c>
      <c r="D24" s="19" t="s">
        <v>770</v>
      </c>
      <c r="E24" s="19" t="s">
        <v>771</v>
      </c>
      <c r="F24" t="s">
        <v>743</v>
      </c>
      <c r="G24" s="19" t="s">
        <v>744</v>
      </c>
      <c r="H24" s="19"/>
      <c r="I24" s="20">
        <v>3</v>
      </c>
    </row>
    <row r="25" spans="1:11" ht="27" x14ac:dyDescent="0.3">
      <c r="A25" s="20">
        <v>13</v>
      </c>
      <c r="B25" s="19" t="s">
        <v>200</v>
      </c>
      <c r="C25" s="19" t="s">
        <v>767</v>
      </c>
      <c r="D25" s="19" t="s">
        <v>772</v>
      </c>
      <c r="E25" s="19" t="s">
        <v>773</v>
      </c>
      <c r="F25" t="s">
        <v>743</v>
      </c>
      <c r="G25" s="19" t="s">
        <v>750</v>
      </c>
      <c r="H25" s="19"/>
      <c r="I25" s="20">
        <v>2</v>
      </c>
    </row>
    <row r="26" spans="1:11" ht="27" x14ac:dyDescent="0.3">
      <c r="A26" s="20">
        <v>14</v>
      </c>
      <c r="B26" s="19" t="s">
        <v>208</v>
      </c>
      <c r="C26" s="19" t="s">
        <v>767</v>
      </c>
      <c r="D26" s="19" t="s">
        <v>774</v>
      </c>
      <c r="E26" s="19" t="s">
        <v>775</v>
      </c>
      <c r="F26" t="s">
        <v>762</v>
      </c>
      <c r="G26" s="19" t="s">
        <v>776</v>
      </c>
      <c r="H26" s="19"/>
      <c r="I26" s="20">
        <v>2</v>
      </c>
    </row>
    <row r="27" spans="1:11" ht="18.600000000000001" customHeight="1" x14ac:dyDescent="0.3">
      <c r="A27" s="186" t="s">
        <v>232</v>
      </c>
      <c r="B27" s="187"/>
      <c r="C27" s="187"/>
      <c r="D27" s="187"/>
      <c r="E27" s="187"/>
      <c r="F27" s="187"/>
      <c r="G27" s="187"/>
      <c r="H27" s="187"/>
      <c r="I27" s="187"/>
      <c r="J27" s="187"/>
    </row>
    <row r="28" spans="1:11" ht="27" x14ac:dyDescent="0.3">
      <c r="A28" s="20">
        <v>15</v>
      </c>
      <c r="B28" s="19" t="s">
        <v>233</v>
      </c>
      <c r="C28" s="19" t="s">
        <v>777</v>
      </c>
      <c r="D28" s="19" t="s">
        <v>778</v>
      </c>
      <c r="E28" s="19" t="s">
        <v>779</v>
      </c>
      <c r="F28" t="s">
        <v>743</v>
      </c>
      <c r="G28" s="19" t="s">
        <v>744</v>
      </c>
      <c r="H28" s="19"/>
      <c r="I28" s="20">
        <v>4</v>
      </c>
      <c r="K28">
        <f>SUM(I28:I31)</f>
        <v>12</v>
      </c>
    </row>
    <row r="29" spans="1:11" ht="27" x14ac:dyDescent="0.3">
      <c r="A29" s="20">
        <v>16</v>
      </c>
      <c r="B29" s="19" t="s">
        <v>249</v>
      </c>
      <c r="C29" s="19" t="s">
        <v>777</v>
      </c>
      <c r="D29" s="19" t="s">
        <v>780</v>
      </c>
      <c r="E29" s="19" t="s">
        <v>781</v>
      </c>
      <c r="F29" t="s">
        <v>743</v>
      </c>
      <c r="G29" s="19" t="s">
        <v>744</v>
      </c>
      <c r="H29" s="19"/>
      <c r="I29" s="20">
        <v>3</v>
      </c>
    </row>
    <row r="30" spans="1:11" ht="27" x14ac:dyDescent="0.3">
      <c r="A30" s="20">
        <v>17</v>
      </c>
      <c r="B30" s="19" t="s">
        <v>262</v>
      </c>
      <c r="C30" s="19" t="s">
        <v>777</v>
      </c>
      <c r="D30" s="19" t="s">
        <v>782</v>
      </c>
      <c r="E30" s="19" t="s">
        <v>783</v>
      </c>
      <c r="F30" t="s">
        <v>762</v>
      </c>
      <c r="G30" s="19" t="s">
        <v>750</v>
      </c>
      <c r="H30" s="19"/>
      <c r="I30" s="20">
        <v>2</v>
      </c>
    </row>
    <row r="31" spans="1:11" ht="27" x14ac:dyDescent="0.3">
      <c r="A31" s="20">
        <v>18</v>
      </c>
      <c r="B31" s="19" t="s">
        <v>256</v>
      </c>
      <c r="C31" s="19" t="s">
        <v>777</v>
      </c>
      <c r="D31" s="19" t="s">
        <v>784</v>
      </c>
      <c r="E31" s="19" t="s">
        <v>785</v>
      </c>
      <c r="F31" t="s">
        <v>747</v>
      </c>
      <c r="G31" s="19" t="s">
        <v>750</v>
      </c>
      <c r="H31" s="19"/>
      <c r="I31" s="20">
        <v>3</v>
      </c>
    </row>
    <row r="32" spans="1:11" ht="18" customHeight="1" x14ac:dyDescent="0.3">
      <c r="A32" s="186" t="s">
        <v>281</v>
      </c>
      <c r="B32" s="187"/>
      <c r="C32" s="187"/>
      <c r="D32" s="187"/>
      <c r="E32" s="187"/>
      <c r="F32" s="187"/>
      <c r="G32" s="187"/>
      <c r="H32" s="187"/>
      <c r="I32" s="187"/>
      <c r="J32" s="187"/>
    </row>
    <row r="33" spans="1:11" ht="27" x14ac:dyDescent="0.3">
      <c r="A33" s="20">
        <v>19</v>
      </c>
      <c r="B33" s="19" t="s">
        <v>282</v>
      </c>
      <c r="C33" s="19" t="s">
        <v>786</v>
      </c>
      <c r="D33" s="19" t="s">
        <v>787</v>
      </c>
      <c r="E33" s="19" t="s">
        <v>788</v>
      </c>
      <c r="F33" t="s">
        <v>743</v>
      </c>
      <c r="G33" s="19" t="s">
        <v>744</v>
      </c>
      <c r="H33" s="19"/>
      <c r="I33" s="20">
        <v>4</v>
      </c>
      <c r="K33">
        <f>SUM(I33:I37)</f>
        <v>17</v>
      </c>
    </row>
    <row r="34" spans="1:11" ht="27" x14ac:dyDescent="0.3">
      <c r="A34" s="20">
        <v>20</v>
      </c>
      <c r="B34" s="19" t="s">
        <v>291</v>
      </c>
      <c r="C34" s="19" t="s">
        <v>786</v>
      </c>
      <c r="D34" s="19" t="s">
        <v>789</v>
      </c>
      <c r="E34" s="19" t="s">
        <v>790</v>
      </c>
      <c r="F34" t="s">
        <v>747</v>
      </c>
      <c r="G34" s="19" t="s">
        <v>744</v>
      </c>
      <c r="H34" s="19"/>
      <c r="I34" s="20">
        <v>3</v>
      </c>
    </row>
    <row r="35" spans="1:11" ht="27" x14ac:dyDescent="0.3">
      <c r="A35" s="20">
        <v>21</v>
      </c>
      <c r="B35" s="19" t="s">
        <v>298</v>
      </c>
      <c r="C35" s="19" t="s">
        <v>786</v>
      </c>
      <c r="D35" s="19" t="s">
        <v>791</v>
      </c>
      <c r="E35" s="19" t="s">
        <v>792</v>
      </c>
      <c r="F35" t="s">
        <v>747</v>
      </c>
      <c r="G35" s="19" t="s">
        <v>750</v>
      </c>
      <c r="H35" s="19"/>
      <c r="I35" s="20">
        <v>5</v>
      </c>
    </row>
    <row r="36" spans="1:11" ht="27" x14ac:dyDescent="0.3">
      <c r="A36" s="20">
        <v>22</v>
      </c>
      <c r="B36" s="19" t="s">
        <v>330</v>
      </c>
      <c r="C36" s="19" t="s">
        <v>786</v>
      </c>
      <c r="D36" s="19" t="s">
        <v>793</v>
      </c>
      <c r="E36" s="19" t="s">
        <v>794</v>
      </c>
      <c r="F36" t="s">
        <v>743</v>
      </c>
      <c r="G36" s="19" t="s">
        <v>744</v>
      </c>
      <c r="H36" s="19"/>
      <c r="I36" s="20">
        <v>3</v>
      </c>
    </row>
    <row r="37" spans="1:11" ht="27" x14ac:dyDescent="0.3">
      <c r="A37" s="20">
        <v>23</v>
      </c>
      <c r="B37" s="19" t="s">
        <v>314</v>
      </c>
      <c r="C37" s="19" t="s">
        <v>786</v>
      </c>
      <c r="D37" s="19" t="s">
        <v>795</v>
      </c>
      <c r="E37" s="19" t="s">
        <v>796</v>
      </c>
      <c r="F37" t="s">
        <v>747</v>
      </c>
      <c r="G37" s="19" t="s">
        <v>776</v>
      </c>
      <c r="H37" s="19"/>
      <c r="I37" s="20">
        <v>2</v>
      </c>
    </row>
    <row r="38" spans="1:11" ht="17.399999999999999" customHeight="1" x14ac:dyDescent="0.3">
      <c r="A38" s="186" t="s">
        <v>394</v>
      </c>
      <c r="B38" s="187"/>
      <c r="C38" s="187"/>
      <c r="D38" s="187"/>
      <c r="E38" s="187"/>
      <c r="F38" s="187"/>
      <c r="G38" s="187"/>
      <c r="H38" s="187"/>
      <c r="I38" s="187"/>
      <c r="J38" s="187"/>
    </row>
    <row r="39" spans="1:11" ht="27" x14ac:dyDescent="0.3">
      <c r="A39" s="20">
        <v>24</v>
      </c>
      <c r="B39" s="19" t="s">
        <v>395</v>
      </c>
      <c r="C39" s="19" t="s">
        <v>797</v>
      </c>
      <c r="D39" s="19" t="s">
        <v>798</v>
      </c>
      <c r="E39" s="19" t="s">
        <v>799</v>
      </c>
      <c r="F39" t="s">
        <v>743</v>
      </c>
      <c r="G39" s="19" t="s">
        <v>744</v>
      </c>
      <c r="H39" s="19"/>
      <c r="I39" s="20">
        <v>5</v>
      </c>
      <c r="K39">
        <f>SUM(I39:I44)</f>
        <v>22</v>
      </c>
    </row>
    <row r="40" spans="1:11" ht="27" x14ac:dyDescent="0.3">
      <c r="A40" s="20">
        <v>25</v>
      </c>
      <c r="B40" s="19" t="s">
        <v>405</v>
      </c>
      <c r="C40" s="19" t="s">
        <v>797</v>
      </c>
      <c r="D40" s="19" t="s">
        <v>800</v>
      </c>
      <c r="E40" s="19" t="s">
        <v>801</v>
      </c>
      <c r="F40" t="s">
        <v>747</v>
      </c>
      <c r="G40" s="19" t="s">
        <v>750</v>
      </c>
      <c r="H40" s="19"/>
      <c r="I40" s="20">
        <v>6</v>
      </c>
    </row>
    <row r="41" spans="1:11" ht="27" x14ac:dyDescent="0.3">
      <c r="A41" s="20">
        <v>26</v>
      </c>
      <c r="B41" s="19" t="s">
        <v>447</v>
      </c>
      <c r="C41" s="19" t="s">
        <v>797</v>
      </c>
      <c r="D41" s="19" t="s">
        <v>802</v>
      </c>
      <c r="E41" s="19" t="s">
        <v>803</v>
      </c>
      <c r="F41" t="s">
        <v>747</v>
      </c>
      <c r="G41" s="19" t="s">
        <v>750</v>
      </c>
      <c r="H41" s="19"/>
      <c r="I41" s="20">
        <v>3</v>
      </c>
    </row>
    <row r="42" spans="1:11" ht="27" x14ac:dyDescent="0.3">
      <c r="A42" s="20">
        <v>27</v>
      </c>
      <c r="B42" s="19" t="s">
        <v>429</v>
      </c>
      <c r="C42" s="19" t="s">
        <v>797</v>
      </c>
      <c r="D42" s="19" t="s">
        <v>804</v>
      </c>
      <c r="E42" s="19" t="s">
        <v>805</v>
      </c>
      <c r="F42" t="s">
        <v>755</v>
      </c>
      <c r="G42" s="19" t="s">
        <v>776</v>
      </c>
      <c r="H42" s="19"/>
      <c r="I42" s="20">
        <v>4</v>
      </c>
    </row>
    <row r="43" spans="1:11" ht="27" x14ac:dyDescent="0.3">
      <c r="A43" s="20">
        <v>28</v>
      </c>
      <c r="B43" s="19" t="s">
        <v>461</v>
      </c>
      <c r="C43" s="19" t="s">
        <v>797</v>
      </c>
      <c r="D43" s="19" t="s">
        <v>806</v>
      </c>
      <c r="E43" s="19" t="s">
        <v>807</v>
      </c>
      <c r="F43" t="s">
        <v>743</v>
      </c>
      <c r="G43" s="19" t="s">
        <v>750</v>
      </c>
      <c r="H43" s="19"/>
      <c r="I43" s="20">
        <v>2</v>
      </c>
    </row>
    <row r="44" spans="1:11" ht="27" x14ac:dyDescent="0.3">
      <c r="A44" s="20">
        <v>29</v>
      </c>
      <c r="B44" s="19" t="s">
        <v>479</v>
      </c>
      <c r="C44" s="19" t="s">
        <v>797</v>
      </c>
      <c r="D44" s="19" t="s">
        <v>808</v>
      </c>
      <c r="E44" s="19" t="s">
        <v>809</v>
      </c>
      <c r="F44" t="s">
        <v>743</v>
      </c>
      <c r="G44" s="19" t="s">
        <v>744</v>
      </c>
      <c r="H44" s="19"/>
      <c r="I44" s="20">
        <v>2</v>
      </c>
    </row>
    <row r="45" spans="1:11" ht="17.399999999999999" customHeight="1" x14ac:dyDescent="0.3">
      <c r="A45" s="186" t="s">
        <v>496</v>
      </c>
      <c r="B45" s="187"/>
      <c r="C45" s="187"/>
      <c r="D45" s="187"/>
      <c r="E45" s="187"/>
      <c r="F45" s="187"/>
      <c r="G45" s="187"/>
      <c r="H45" s="187"/>
      <c r="I45" s="187"/>
      <c r="J45" s="187"/>
    </row>
    <row r="46" spans="1:11" ht="27" x14ac:dyDescent="0.3">
      <c r="A46" s="20">
        <v>30</v>
      </c>
      <c r="B46" s="19" t="s">
        <v>497</v>
      </c>
      <c r="C46" s="19" t="s">
        <v>810</v>
      </c>
      <c r="D46" s="19" t="s">
        <v>811</v>
      </c>
      <c r="E46" s="19" t="s">
        <v>812</v>
      </c>
      <c r="F46" t="s">
        <v>743</v>
      </c>
      <c r="G46" s="19" t="s">
        <v>744</v>
      </c>
      <c r="H46" s="19"/>
      <c r="I46" s="20">
        <v>3</v>
      </c>
      <c r="K46">
        <f>SUM(I46:I49)</f>
        <v>12</v>
      </c>
    </row>
    <row r="47" spans="1:11" ht="27" x14ac:dyDescent="0.3">
      <c r="A47" s="20">
        <v>31</v>
      </c>
      <c r="B47" s="19" t="s">
        <v>517</v>
      </c>
      <c r="C47" s="19" t="s">
        <v>810</v>
      </c>
      <c r="D47" s="19" t="s">
        <v>813</v>
      </c>
      <c r="E47" s="19" t="s">
        <v>814</v>
      </c>
      <c r="F47" t="s">
        <v>743</v>
      </c>
      <c r="G47" s="19" t="s">
        <v>750</v>
      </c>
      <c r="H47" s="19"/>
      <c r="I47" s="20">
        <v>4</v>
      </c>
    </row>
    <row r="48" spans="1:11" ht="27" x14ac:dyDescent="0.3">
      <c r="A48" s="20">
        <v>32</v>
      </c>
      <c r="B48" s="19" t="s">
        <v>547</v>
      </c>
      <c r="C48" s="19" t="s">
        <v>810</v>
      </c>
      <c r="D48" s="19" t="s">
        <v>815</v>
      </c>
      <c r="E48" s="19" t="s">
        <v>816</v>
      </c>
      <c r="F48" t="s">
        <v>743</v>
      </c>
      <c r="G48" s="19" t="s">
        <v>750</v>
      </c>
      <c r="H48" s="19"/>
      <c r="I48" s="20">
        <v>3</v>
      </c>
    </row>
    <row r="49" spans="1:11" ht="27" x14ac:dyDescent="0.3">
      <c r="A49" s="20">
        <v>33</v>
      </c>
      <c r="B49" s="19" t="s">
        <v>817</v>
      </c>
      <c r="C49" s="19" t="s">
        <v>810</v>
      </c>
      <c r="D49" s="19" t="s">
        <v>818</v>
      </c>
      <c r="E49" s="19" t="s">
        <v>819</v>
      </c>
      <c r="F49" t="s">
        <v>762</v>
      </c>
      <c r="G49" s="19" t="s">
        <v>776</v>
      </c>
      <c r="H49" s="19"/>
      <c r="I49" s="20">
        <v>2</v>
      </c>
    </row>
    <row r="50" spans="1:11" ht="18" customHeight="1" x14ac:dyDescent="0.3">
      <c r="A50" s="186" t="s">
        <v>586</v>
      </c>
      <c r="B50" s="187"/>
      <c r="C50" s="187"/>
      <c r="D50" s="187"/>
      <c r="E50" s="187"/>
      <c r="F50" s="187"/>
      <c r="G50" s="187"/>
      <c r="H50" s="187"/>
      <c r="I50" s="187"/>
      <c r="J50" s="187"/>
    </row>
    <row r="51" spans="1:11" ht="27" x14ac:dyDescent="0.3">
      <c r="A51" s="20">
        <v>34</v>
      </c>
      <c r="B51" s="19" t="s">
        <v>587</v>
      </c>
      <c r="C51" s="19" t="s">
        <v>820</v>
      </c>
      <c r="D51" s="19" t="s">
        <v>821</v>
      </c>
      <c r="E51" s="19" t="s">
        <v>822</v>
      </c>
      <c r="F51" t="s">
        <v>743</v>
      </c>
      <c r="G51" s="19" t="s">
        <v>744</v>
      </c>
      <c r="H51" s="19"/>
      <c r="I51" s="20">
        <v>4</v>
      </c>
      <c r="K51">
        <f>SUM(I51:I54)</f>
        <v>12</v>
      </c>
    </row>
    <row r="52" spans="1:11" ht="27" x14ac:dyDescent="0.3">
      <c r="A52" s="20">
        <v>35</v>
      </c>
      <c r="B52" s="19" t="s">
        <v>594</v>
      </c>
      <c r="C52" s="19" t="s">
        <v>820</v>
      </c>
      <c r="D52" s="19" t="s">
        <v>823</v>
      </c>
      <c r="E52" s="19" t="s">
        <v>824</v>
      </c>
      <c r="F52" t="s">
        <v>747</v>
      </c>
      <c r="G52" s="19" t="s">
        <v>750</v>
      </c>
      <c r="H52" s="19"/>
      <c r="I52" s="20">
        <v>5</v>
      </c>
    </row>
    <row r="53" spans="1:11" ht="27" x14ac:dyDescent="0.3">
      <c r="A53" s="20">
        <v>36</v>
      </c>
      <c r="B53" s="19" t="s">
        <v>627</v>
      </c>
      <c r="C53" s="19" t="s">
        <v>820</v>
      </c>
      <c r="D53" s="19" t="s">
        <v>825</v>
      </c>
      <c r="E53" s="19" t="s">
        <v>826</v>
      </c>
      <c r="F53" t="s">
        <v>743</v>
      </c>
      <c r="G53" s="19" t="s">
        <v>744</v>
      </c>
      <c r="H53" s="19"/>
      <c r="I53" s="20">
        <v>2</v>
      </c>
    </row>
    <row r="54" spans="1:11" ht="27" x14ac:dyDescent="0.3">
      <c r="A54" s="20">
        <v>37</v>
      </c>
      <c r="B54" s="19" t="s">
        <v>827</v>
      </c>
      <c r="C54" s="19" t="s">
        <v>820</v>
      </c>
      <c r="D54" s="19" t="s">
        <v>828</v>
      </c>
      <c r="E54" s="19" t="s">
        <v>829</v>
      </c>
      <c r="F54" t="s">
        <v>762</v>
      </c>
      <c r="G54" s="19" t="s">
        <v>776</v>
      </c>
      <c r="H54" s="19"/>
      <c r="I54" s="20">
        <v>1</v>
      </c>
    </row>
    <row r="55" spans="1:11" ht="17.399999999999999" customHeight="1" x14ac:dyDescent="0.3">
      <c r="A55" s="186" t="s">
        <v>639</v>
      </c>
      <c r="B55" s="187"/>
      <c r="C55" s="187"/>
      <c r="D55" s="187"/>
      <c r="E55" s="187"/>
      <c r="F55" s="187"/>
      <c r="G55" s="187"/>
      <c r="H55" s="187"/>
      <c r="I55" s="187"/>
      <c r="J55" s="187"/>
    </row>
    <row r="56" spans="1:11" ht="27" x14ac:dyDescent="0.3">
      <c r="A56" s="20">
        <v>38</v>
      </c>
      <c r="B56" s="19" t="s">
        <v>640</v>
      </c>
      <c r="C56" s="19" t="s">
        <v>830</v>
      </c>
      <c r="D56" s="19" t="s">
        <v>831</v>
      </c>
      <c r="E56" s="19" t="s">
        <v>832</v>
      </c>
      <c r="F56" t="s">
        <v>743</v>
      </c>
      <c r="G56" s="19" t="s">
        <v>744</v>
      </c>
      <c r="H56" s="19"/>
      <c r="I56" s="20">
        <v>4</v>
      </c>
      <c r="K56">
        <f>SUM(I56:I58)</f>
        <v>10</v>
      </c>
    </row>
    <row r="57" spans="1:11" ht="27" x14ac:dyDescent="0.3">
      <c r="A57" s="20">
        <v>39</v>
      </c>
      <c r="B57" s="19" t="s">
        <v>649</v>
      </c>
      <c r="C57" s="19" t="s">
        <v>830</v>
      </c>
      <c r="D57" s="19" t="s">
        <v>833</v>
      </c>
      <c r="E57" s="19" t="s">
        <v>834</v>
      </c>
      <c r="F57" t="s">
        <v>743</v>
      </c>
      <c r="G57" s="19" t="s">
        <v>744</v>
      </c>
      <c r="H57" s="19"/>
      <c r="I57" s="20">
        <v>4</v>
      </c>
    </row>
    <row r="58" spans="1:11" ht="25.8" customHeight="1" x14ac:dyDescent="0.3">
      <c r="A58" s="20">
        <v>40</v>
      </c>
      <c r="B58" s="19" t="s">
        <v>690</v>
      </c>
      <c r="C58" s="19" t="s">
        <v>830</v>
      </c>
      <c r="D58" s="19" t="s">
        <v>835</v>
      </c>
      <c r="E58" s="19" t="s">
        <v>836</v>
      </c>
      <c r="F58" t="s">
        <v>743</v>
      </c>
      <c r="G58" s="19" t="s">
        <v>750</v>
      </c>
      <c r="H58" s="19"/>
      <c r="I58" s="20">
        <v>2</v>
      </c>
    </row>
  </sheetData>
  <mergeCells count="21">
    <mergeCell ref="A38:J38"/>
    <mergeCell ref="A45:J45"/>
    <mergeCell ref="A50:J50"/>
    <mergeCell ref="A55:J55"/>
    <mergeCell ref="A10:J10"/>
    <mergeCell ref="A16:J16"/>
    <mergeCell ref="A22:J22"/>
    <mergeCell ref="A27:J27"/>
    <mergeCell ref="A32:J32"/>
    <mergeCell ref="A4:B4"/>
    <mergeCell ref="C4:E4"/>
    <mergeCell ref="G4:J4"/>
    <mergeCell ref="A7:J7"/>
    <mergeCell ref="A9:J9"/>
    <mergeCell ref="A1:J1"/>
    <mergeCell ref="A2:B2"/>
    <mergeCell ref="C2:E2"/>
    <mergeCell ref="G2:J2"/>
    <mergeCell ref="A3:B3"/>
    <mergeCell ref="C3:E3"/>
    <mergeCell ref="G3:J3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CC59B2C46D924F911E9123F19F4FF8" ma:contentTypeVersion="6" ma:contentTypeDescription="Create a new document." ma:contentTypeScope="" ma:versionID="b42403a38fc144531a8d5f6c8e4fa26b">
  <xsd:schema xmlns:xsd="http://www.w3.org/2001/XMLSchema" xmlns:xs="http://www.w3.org/2001/XMLSchema" xmlns:p="http://schemas.microsoft.com/office/2006/metadata/properties" xmlns:ns3="0443d48f-321c-4e41-9d7a-7eb2a399c3c3" targetNamespace="http://schemas.microsoft.com/office/2006/metadata/properties" ma:root="true" ma:fieldsID="546424d38155c7a881506fc117496d9d" ns3:_="">
    <xsd:import namespace="0443d48f-321c-4e41-9d7a-7eb2a399c3c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43d48f-321c-4e41-9d7a-7eb2a399c3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443d48f-321c-4e41-9d7a-7eb2a399c3c3" xsi:nil="true"/>
  </documentManagement>
</p:properties>
</file>

<file path=customXml/itemProps1.xml><?xml version="1.0" encoding="utf-8"?>
<ds:datastoreItem xmlns:ds="http://schemas.openxmlformats.org/officeDocument/2006/customXml" ds:itemID="{B4A1CBD5-1EAA-4965-BA5E-48B7740659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43d48f-321c-4e41-9d7a-7eb2a399c3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9791D7-602D-4432-8FB9-6B78B6FA93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D443E7-F6DD-4A9A-9DCB-C1C4800B5DE4}">
  <ds:schemaRefs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0443d48f-321c-4e41-9d7a-7eb2a399c3c3"/>
    <ds:schemaRef ds:uri="http://schemas.microsoft.com/office/2006/documentManagement/types"/>
    <ds:schemaRef ds:uri="http://purl.org/dc/terms/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Dự Án </vt:lpstr>
      <vt:lpstr>TestCase</vt:lpstr>
      <vt:lpstr>Test Requirement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Phan Anh Đô</dc:creator>
  <cp:keywords/>
  <dc:description/>
  <cp:lastModifiedBy>Trần Duy Khoa</cp:lastModifiedBy>
  <cp:revision/>
  <dcterms:created xsi:type="dcterms:W3CDTF">2025-03-05T11:48:55Z</dcterms:created>
  <dcterms:modified xsi:type="dcterms:W3CDTF">2026-03-21T08:35:33Z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0x0101004ECC59B2C46D924F911E9123F19F4FF8</vt:lpwstr>
  </property>
</Properties>
</file>